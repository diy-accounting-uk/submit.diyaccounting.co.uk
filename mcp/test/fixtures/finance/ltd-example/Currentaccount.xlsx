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" sheetId="1" state="visible" r:id="rId3"/>
    <sheet name="Dec" sheetId="2" state="visible" r:id="rId4"/>
    <sheet name="Jan" sheetId="3" state="visible" r:id="rId5"/>
    <sheet name="Feb" sheetId="4" state="visible" r:id="rId6"/>
    <sheet name="Mar" sheetId="5" state="visible" r:id="rId7"/>
    <sheet name="Apr" sheetId="6" state="visible" r:id="rId8"/>
    <sheet name="May" sheetId="7" state="visible" r:id="rId9"/>
    <sheet name="Jun" sheetId="8" state="visible" r:id="rId10"/>
    <sheet name="Jul" sheetId="9" state="visible" r:id="rId11"/>
    <sheet name="Aug" sheetId="10" state="visible" r:id="rId12"/>
    <sheet name="Sep" sheetId="11" state="visible" r:id="rId13"/>
    <sheet name="Oct" sheetId="12" state="visible" r:id="rId14"/>
  </sheets>
  <externalReferences>
    <externalReference r:id="rId15"/>
  </externalReferences>
  <definedNames>
    <definedName function="false" hidden="false" localSheetId="0" name="_xlnm_Print_Area" vbProcedure="false">Apr!$A$1:$AI$75</definedName>
    <definedName function="false" hidden="false" localSheetId="0" name="_xlnm_Print_Titles" vbProcedure="false">Apr!$1:$5</definedName>
    <definedName function="false" hidden="false" localSheetId="1" name="_xlnm_Print_Area" vbProcedure="false">May!$A$1:$AJ$75</definedName>
    <definedName function="false" hidden="false" localSheetId="1" name="_xlnm_Print_Titles" vbProcedure="false">May!$1:$5</definedName>
    <definedName function="false" hidden="false" localSheetId="2" name="_xlnm_Print_Area" vbProcedure="false">Jun!$A$1:$AJ$75</definedName>
    <definedName function="false" hidden="false" localSheetId="2" name="_xlnm_Print_Titles" vbProcedure="false">Jun!$1:$5</definedName>
    <definedName function="false" hidden="false" localSheetId="3" name="_xlnm_Print_Area" vbProcedure="false">Jul!$A$1:$AJ$75</definedName>
    <definedName function="false" hidden="false" localSheetId="3" name="_xlnm_Print_Titles" vbProcedure="false">Jul!$1:$5</definedName>
    <definedName function="false" hidden="false" localSheetId="4" name="_xlnm_Print_Area" vbProcedure="false">Aug!$A$1:$AJ$75</definedName>
    <definedName function="false" hidden="false" localSheetId="4" name="_xlnm_Print_Titles" vbProcedure="false">Aug!$1:$5</definedName>
    <definedName function="false" hidden="false" localSheetId="5" name="_xlnm_Print_Area" vbProcedure="false">Sep!$A$1:$AJ$75</definedName>
    <definedName function="false" hidden="false" localSheetId="5" name="_xlnm_Print_Titles" vbProcedure="false">Sep!$1:$5</definedName>
    <definedName function="false" hidden="false" localSheetId="6" name="_xlnm_Print_Area" vbProcedure="false">Oct!$A$1:$AJ$75</definedName>
    <definedName function="false" hidden="false" localSheetId="6" name="_xlnm_Print_Titles" vbProcedure="false">Oct!$1:$5</definedName>
    <definedName function="false" hidden="false" localSheetId="7" name="_xlnm_Print_Area" vbProcedure="false">Nov!$A$1:$AJ$75</definedName>
    <definedName function="false" hidden="false" localSheetId="7" name="_xlnm_Print_Titles" vbProcedure="false">Nov!$1:$5</definedName>
    <definedName function="false" hidden="false" localSheetId="8" name="_xlnm_Print_Area" vbProcedure="false">Dec!$A$1:$AJ$75</definedName>
    <definedName function="false" hidden="false" localSheetId="8" name="_xlnm_Print_Titles" vbProcedure="false">Dec!$1:$5</definedName>
    <definedName function="false" hidden="false" localSheetId="9" name="_xlnm_Print_Area" vbProcedure="false">Jan!$A$1:$AJ$75</definedName>
    <definedName function="false" hidden="false" localSheetId="9" name="_xlnm_Print_Titles" vbProcedure="false">Jan!$1:$5</definedName>
    <definedName function="false" hidden="false" localSheetId="10" name="_xlnm_Print_Area" vbProcedure="false">Feb!$A$1:$AJ$75</definedName>
    <definedName function="false" hidden="false" localSheetId="10" name="_xlnm_Print_Titles" vbProcedure="false">Feb!$1:$5</definedName>
    <definedName function="false" hidden="false" localSheetId="11" name="_xlnm_Print_Area" vbProcedure="false">Mar!$A$1:$AJ$75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<sst xmlns="http://schemas.openxmlformats.org/spreadsheetml/2006/main" count="1444" uniqueCount="252">
  <si>
    <t xml:space="preserve">&lt;  Opening Bank Balance</t>
  </si>
  <si>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</si>
  <si>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</si>
  <si>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</si>
  <si>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</si>
  <si>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CURRENT ACCOUNT STATEMENT RECEIPTS</t>
  </si>
  <si>
    <t xml:space="preserve">Enter Purchase Invoice No.</t>
  </si>
  <si>
    <t xml:space="preserve">Cheque number  Direct Debit</t>
  </si>
  <si>
    <t xml:space="preserve">CURRENT ACCOUNT STATEMENT PAYMENTS</t>
  </si>
  <si>
    <t xml:space="preserve">&lt;  Statement Bank Balance</t>
  </si>
  <si>
    <t xml:space="preserve">Amounts received from each Source</t>
  </si>
  <si>
    <t xml:space="preserve">Transfers From Savings</t>
  </si>
  <si>
    <t xml:space="preserve">Transfers   From        Cr Card</t>
  </si>
  <si>
    <t xml:space="preserve">Transfers     From      Cash</t>
  </si>
  <si>
    <t xml:space="preserve">Amount Received Debtors</t>
  </si>
  <si>
    <t xml:space="preserve">Interest Received</t>
  </si>
  <si>
    <t xml:space="preserve">Long Term Debtor</t>
  </si>
  <si>
    <t xml:space="preserve">Long Term Creditor</t>
  </si>
  <si>
    <t xml:space="preserve">HMRC   Vat Refunded</t>
  </si>
  <si>
    <t xml:space="preserve">HMRC CIS Refunded</t>
  </si>
  <si>
    <t xml:space="preserve">Directors Loan Account</t>
  </si>
  <si>
    <t xml:space="preserve">Bank Contra items</t>
  </si>
  <si>
    <t xml:space="preserve">Amounts Paid by invoice number</t>
  </si>
  <si>
    <t xml:space="preserve">Transfers  To   Savings</t>
  </si>
  <si>
    <t xml:space="preserve">Transfers      To     Credit Card</t>
  </si>
  <si>
    <t xml:space="preserve">Transfers      To       Cash</t>
  </si>
  <si>
    <t xml:space="preserve">Amount Paid Creditors</t>
  </si>
  <si>
    <t xml:space="preserve">Net        Wages      Paid</t>
  </si>
  <si>
    <t xml:space="preserve">Bank Charges Paid</t>
  </si>
  <si>
    <t xml:space="preserve">Interest Paid</t>
  </si>
  <si>
    <t xml:space="preserve">HMRC Paye Payments</t>
  </si>
  <si>
    <t xml:space="preserve">HMRC    Vat Payments</t>
  </si>
  <si>
    <t xml:space="preserve">HMRC CIS Payments</t>
  </si>
  <si>
    <t xml:space="preserve">HMRC Corp Tax Payment</t>
  </si>
  <si>
    <t xml:space="preserve">Dividends Paid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</si>
  <si>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</si>
  <si>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</si>
  <si>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</si>
  <si>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</si>
  <si>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</si>
  <si>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BS</t>
  </si>
  <si>
    <t xml:space="preserve">BD</t>
  </si>
  <si>
    <t xml:space="preserve">BC</t>
  </si>
  <si>
    <t xml:space="preserve">DR</t>
  </si>
  <si>
    <t xml:space="preserve">K</t>
  </si>
  <si>
    <t xml:space="preserve">LDR</t>
  </si>
  <si>
    <t xml:space="preserve">LCR</t>
  </si>
  <si>
    <t xml:space="preserve">RV</t>
  </si>
  <si>
    <t xml:space="preserve">RC</t>
  </si>
  <si>
    <t xml:space="preserve">DL</t>
  </si>
  <si>
    <t xml:space="preserve">X</t>
  </si>
  <si>
    <t xml:space="preserve">CR</t>
  </si>
  <si>
    <t xml:space="preserve">W</t>
  </si>
  <si>
    <t xml:space="preserve">B</t>
  </si>
  <si>
    <t xml:space="preserve">J</t>
  </si>
  <si>
    <t xml:space="preserve">RP</t>
  </si>
  <si>
    <t xml:space="preserve">RT</t>
  </si>
  <si>
    <t xml:space="preserve">DV</t>
  </si>
  <si>
    <t xml:space="preserve">Acme Corp</t>
  </si>
  <si>
    <t xml:space="preserve">BNK-DR-037</t>
  </si>
  <si>
    <t xml:space="preserve">Opening debtor receipt</t>
  </si>
  <si>
    <t xml:space="preserve">WorkSpace Ltd</t>
  </si>
  <si>
    <t xml:space="preserve">BNK-CR-001</t>
  </si>
  <si>
    <t xml:space="preserve">Office rent payment</t>
  </si>
  <si>
    <t xml:space="preserve">Beta Systems</t>
  </si>
  <si>
    <t xml:space="preserve">BNK-DR-038</t>
  </si>
  <si>
    <t xml:space="preserve">Director</t>
  </si>
  <si>
    <t xml:space="preserve">BNK-DL-001</t>
  </si>
  <si>
    <t xml:space="preserve">Directors loan repayment</t>
  </si>
  <si>
    <t xml:space="preserve">BNK-DR-001</t>
  </si>
  <si>
    <t xml:space="preserve">Customer receipt</t>
  </si>
  <si>
    <t xml:space="preserve">Various suppliers</t>
  </si>
  <si>
    <t xml:space="preserve">BNK-CR-MISC-001</t>
  </si>
  <si>
    <t xml:space="preserve">Aggregate supplier payments</t>
  </si>
  <si>
    <t xml:space="preserve">TechStart Ltd</t>
  </si>
  <si>
    <t xml:space="preserve">BNK-DR-013</t>
  </si>
  <si>
    <t xml:space="preserve">HMRC</t>
  </si>
  <si>
    <t xml:space="preserve">BNK-RP-001</t>
  </si>
  <si>
    <t xml:space="preserve">Monthly PAYE/NI payment</t>
  </si>
  <si>
    <t xml:space="preserve">Gamma Ltd</t>
  </si>
  <si>
    <t xml:space="preserve">BNK-DR-039</t>
  </si>
  <si>
    <t xml:space="preserve">Payroll</t>
  </si>
  <si>
    <t xml:space="preserve">BNK-W-001</t>
  </si>
  <si>
    <t xml:space="preserve">Monthly net wages (all staff)</t>
  </si>
  <si>
    <t xml:space="preserve">Various customers</t>
  </si>
  <si>
    <t xml:space="preserve">BNK-DR-025</t>
  </si>
  <si>
    <t xml:space="preserve">Aggregate customer receipts</t>
  </si>
  <si>
    <t xml:space="preserve">Smith &amp; Co</t>
  </si>
  <si>
    <t xml:space="preserve">BNK-CR-013</t>
  </si>
  <si>
    <t xml:space="preserve">Accountancy fee payment</t>
  </si>
  <si>
    <t xml:space="preserve">Credit card payment</t>
  </si>
  <si>
    <t xml:space="preserve">BNK-X-CC-001</t>
  </si>
  <si>
    <t xml:space="preserve">Pay credit card balance</t>
  </si>
  <si>
    <t xml:space="preserve">BNK-DR-002</t>
  </si>
  <si>
    <t xml:space="preserve">BNK-CR-002</t>
  </si>
  <si>
    <t xml:space="preserve">BNK-DR-014</t>
  </si>
  <si>
    <t xml:space="preserve">BNK-DL-002</t>
  </si>
  <si>
    <t xml:space="preserve">BNK-DR-026</t>
  </si>
  <si>
    <t xml:space="preserve">BNK-CR-MISC-002</t>
  </si>
  <si>
    <t xml:space="preserve">BNK-RP-002</t>
  </si>
  <si>
    <t xml:space="preserve">HSBC</t>
  </si>
  <si>
    <t xml:space="preserve">BNK-B-001</t>
  </si>
  <si>
    <t xml:space="preserve">Bank charges</t>
  </si>
  <si>
    <t xml:space="preserve">BNK-W-002</t>
  </si>
  <si>
    <t xml:space="preserve">BNK-CR-014</t>
  </si>
  <si>
    <t xml:space="preserve">BNK-RV-VAT-000</t>
  </si>
  <si>
    <t xml:space="preserve">VAT payment, prior year fourth quarter</t>
  </si>
  <si>
    <t xml:space="preserve">BNK-DR-003</t>
  </si>
  <si>
    <t xml:space="preserve">BNK-CR-003</t>
  </si>
  <si>
    <t xml:space="preserve">BNK-DR-015</t>
  </si>
  <si>
    <t xml:space="preserve">BNK-DL-003</t>
  </si>
  <si>
    <t xml:space="preserve">BNK-DR-027</t>
  </si>
  <si>
    <t xml:space="preserve">BNK-CR-MISC-003</t>
  </si>
  <si>
    <t xml:space="preserve">Cash top-up</t>
  </si>
  <si>
    <t xml:space="preserve">BNK-BC-001</t>
  </si>
  <si>
    <t xml:space="preserve">Transfer to cash float</t>
  </si>
  <si>
    <t xml:space="preserve">BNK-RP-003</t>
  </si>
  <si>
    <t xml:space="preserve">BNK-W-003</t>
  </si>
  <si>
    <t xml:space="preserve">Directors loan interest</t>
  </si>
  <si>
    <t xml:space="preserve">BNK-B-INT-001</t>
  </si>
  <si>
    <t xml:space="preserve">Quarterly loan interest payment</t>
  </si>
  <si>
    <t xml:space="preserve">BNK-CR-015</t>
  </si>
  <si>
    <t xml:space="preserve">Close Brothers Asset Finance</t>
  </si>
  <si>
    <t xml:space="preserve">BNK-HP-INT-001</t>
  </si>
  <si>
    <t xml:space="preserve">HP-2025-01 admin charges and interest</t>
  </si>
  <si>
    <t xml:space="preserve">BNK-HP-CAP-001</t>
  </si>
  <si>
    <t xml:space="preserve">HP-2025-01 capital repayment</t>
  </si>
  <si>
    <t xml:space="preserve">BNK-DR-004</t>
  </si>
  <si>
    <t xml:space="preserve">BNK-CR-004</t>
  </si>
  <si>
    <t xml:space="preserve">BNK-DR-016</t>
  </si>
  <si>
    <t xml:space="preserve">BNK-DL-004</t>
  </si>
  <si>
    <t xml:space="preserve">BNK-DR-028</t>
  </si>
  <si>
    <t xml:space="preserve">BNK-CR-MISC-004</t>
  </si>
  <si>
    <t xml:space="preserve">Dividend</t>
  </si>
  <si>
    <t xml:space="preserve">BNK-DV-001</t>
  </si>
  <si>
    <t xml:space="preserve">Quarterly dividend payment</t>
  </si>
  <si>
    <t xml:space="preserve">BNK-RP-004</t>
  </si>
  <si>
    <t xml:space="preserve">BNK-RC-CIS-001</t>
  </si>
  <si>
    <t xml:space="preserve">CIS deduction remittance</t>
  </si>
  <si>
    <t xml:space="preserve">BNK-W-004</t>
  </si>
  <si>
    <t xml:space="preserve">BNK-CR-016</t>
  </si>
  <si>
    <t xml:space="preserve">BNK-X-CC-002</t>
  </si>
  <si>
    <t xml:space="preserve">Innovate UK</t>
  </si>
  <si>
    <t xml:space="preserve">BNK-RV-001</t>
  </si>
  <si>
    <t xml:space="preserve">Grant received</t>
  </si>
  <si>
    <t xml:space="preserve">BNK-RV-VAT-001</t>
  </si>
  <si>
    <t xml:space="preserve">VAT payment Q1 Apr-Jun</t>
  </si>
  <si>
    <t xml:space="preserve">BNK-DR-005</t>
  </si>
  <si>
    <t xml:space="preserve">BNK-CR-005</t>
  </si>
  <si>
    <t xml:space="preserve">BNK-DR-017</t>
  </si>
  <si>
    <t xml:space="preserve">BNK-DL-005</t>
  </si>
  <si>
    <t xml:space="preserve">BNK-DR-029</t>
  </si>
  <si>
    <t xml:space="preserve">BNK-CR-MISC-005</t>
  </si>
  <si>
    <t xml:space="preserve">BNK-RP-005</t>
  </si>
  <si>
    <t xml:space="preserve">BNK-W-005</t>
  </si>
  <si>
    <t xml:space="preserve">BNK-CR-017</t>
  </si>
  <si>
    <t xml:space="preserve">BNK-DR-006</t>
  </si>
  <si>
    <t xml:space="preserve">BNK-CR-006</t>
  </si>
  <si>
    <t xml:space="preserve">BNK-DR-018</t>
  </si>
  <si>
    <t xml:space="preserve">BNK-DL-006</t>
  </si>
  <si>
    <t xml:space="preserve">BNK-DR-030</t>
  </si>
  <si>
    <t xml:space="preserve">BNK-CR-MISC-006</t>
  </si>
  <si>
    <t xml:space="preserve">BNK-RP-006</t>
  </si>
  <si>
    <t xml:space="preserve">BNK-W-006</t>
  </si>
  <si>
    <t xml:space="preserve">BNK-B-INT-002</t>
  </si>
  <si>
    <t xml:space="preserve">BNK-CR-018</t>
  </si>
  <si>
    <t xml:space="preserve">BNK-HP-INT-002</t>
  </si>
  <si>
    <t xml:space="preserve">HP-2025-02 admin charges and interest</t>
  </si>
  <si>
    <t xml:space="preserve">BNK-HP-CAP-002</t>
  </si>
  <si>
    <t xml:space="preserve">HP-2025-02 capital repayment</t>
  </si>
  <si>
    <t xml:space="preserve">Private buyer</t>
  </si>
  <si>
    <t xml:space="preserve">BNK-DR-040</t>
  </si>
  <si>
    <t xml:space="preserve">Van sale proceeds</t>
  </si>
  <si>
    <t xml:space="preserve">BNK-CR-007</t>
  </si>
  <si>
    <t xml:space="preserve">BNK-DR-007</t>
  </si>
  <si>
    <t xml:space="preserve">BNK-DL-007</t>
  </si>
  <si>
    <t xml:space="preserve">BNK-DR-019</t>
  </si>
  <si>
    <t xml:space="preserve">BNK-RT-CT-001</t>
  </si>
  <si>
    <t xml:space="preserve">Corporation Tax prior year</t>
  </si>
  <si>
    <t xml:space="preserve">BNK-DR-031</t>
  </si>
  <si>
    <t xml:space="preserve">BNK-CR-MISC-007</t>
  </si>
  <si>
    <t xml:space="preserve">BNK-DV-002</t>
  </si>
  <si>
    <t xml:space="preserve">BNK-RP-007</t>
  </si>
  <si>
    <t xml:space="preserve">Ford</t>
  </si>
  <si>
    <t xml:space="preserve">BNK-CR-FA-001</t>
  </si>
  <si>
    <t xml:space="preserve">Ford Transit Custom purchase</t>
  </si>
  <si>
    <t xml:space="preserve">BNK-W-007</t>
  </si>
  <si>
    <t xml:space="preserve">BNK-CR-019</t>
  </si>
  <si>
    <t xml:space="preserve">BNK-X-CC-003</t>
  </si>
  <si>
    <t xml:space="preserve">BNK-DR-008</t>
  </si>
  <si>
    <t xml:space="preserve">BNK-RV-VAT-002</t>
  </si>
  <si>
    <t xml:space="preserve">VAT payment Q2 Jul-Sep</t>
  </si>
  <si>
    <t xml:space="preserve">BNK-DR-020</t>
  </si>
  <si>
    <t xml:space="preserve">BNK-CR-008</t>
  </si>
  <si>
    <t xml:space="preserve">BNK-DR-032</t>
  </si>
  <si>
    <t xml:space="preserve">BNK-DL-008</t>
  </si>
  <si>
    <t xml:space="preserve">BNK-CR-MISC-008</t>
  </si>
  <si>
    <t xml:space="preserve">BNK-RP-008</t>
  </si>
  <si>
    <t xml:space="preserve">BNK-B-002</t>
  </si>
  <si>
    <t xml:space="preserve">BNK-W-008</t>
  </si>
  <si>
    <t xml:space="preserve">BNK-CR-020</t>
  </si>
  <si>
    <t xml:space="preserve">BNK-DR-009</t>
  </si>
  <si>
    <t xml:space="preserve">BNK-CR-009</t>
  </si>
  <si>
    <t xml:space="preserve">BNK-DR-021</t>
  </si>
  <si>
    <t xml:space="preserve">BNK-DL-009</t>
  </si>
  <si>
    <t xml:space="preserve">BNK-DR-033</t>
  </si>
  <si>
    <t xml:space="preserve">BNK-CR-MISC-009</t>
  </si>
  <si>
    <t xml:space="preserve">BNK-RP-009</t>
  </si>
  <si>
    <t xml:space="preserve">BNK-RC-CIS-002</t>
  </si>
  <si>
    <t xml:space="preserve">BNK-W-009</t>
  </si>
  <si>
    <t xml:space="preserve">BNK-B-INT-003</t>
  </si>
  <si>
    <t xml:space="preserve">BNK-CR-021</t>
  </si>
  <si>
    <t xml:space="preserve">Director loan</t>
  </si>
  <si>
    <t xml:space="preserve">BNK-DL-IN-001</t>
  </si>
  <si>
    <t xml:space="preserve">Directors loan advance</t>
  </si>
  <si>
    <t xml:space="preserve">BNK-CR-010</t>
  </si>
  <si>
    <t xml:space="preserve">BNK-DR-010</t>
  </si>
  <si>
    <t xml:space="preserve">BNK-DL-010</t>
  </si>
  <si>
    <t xml:space="preserve">BNK-DR-022</t>
  </si>
  <si>
    <t xml:space="preserve">BNK-CR-MISC-010</t>
  </si>
  <si>
    <t xml:space="preserve">BNK-DR-034</t>
  </si>
  <si>
    <t xml:space="preserve">BNK-DV-003</t>
  </si>
  <si>
    <t xml:space="preserve">BNK-RP-010</t>
  </si>
  <si>
    <t xml:space="preserve">BNK-W-010</t>
  </si>
  <si>
    <t xml:space="preserve">BNK-CR-022</t>
  </si>
  <si>
    <t xml:space="preserve">BNK-X-CC-004</t>
  </si>
  <si>
    <t xml:space="preserve">BNK-DR-011</t>
  </si>
  <si>
    <t xml:space="preserve">BNK-RV-VAT-003</t>
  </si>
  <si>
    <t xml:space="preserve">VAT payment Q3 Oct-Dec</t>
  </si>
  <si>
    <t xml:space="preserve">BNK-DR-023</t>
  </si>
  <si>
    <t xml:space="preserve">BNK-CR-011</t>
  </si>
  <si>
    <t xml:space="preserve">BNK-DR-035</t>
  </si>
  <si>
    <t xml:space="preserve">BNK-DL-011</t>
  </si>
  <si>
    <t xml:space="preserve">BNK-CR-MISC-011</t>
  </si>
  <si>
    <t xml:space="preserve">BNK-RP-011</t>
  </si>
  <si>
    <t xml:space="preserve">BNK-CR-023</t>
  </si>
  <si>
    <t xml:space="preserve">BNK-W-011</t>
  </si>
  <si>
    <t xml:space="preserve">BNK-DR-012</t>
  </si>
  <si>
    <t xml:space="preserve">BNK-CR-012</t>
  </si>
  <si>
    <t xml:space="preserve">BNK-DR-024</t>
  </si>
  <si>
    <t xml:space="preserve">BNK-DL-012</t>
  </si>
  <si>
    <t xml:space="preserve">BNK-DR-036</t>
  </si>
  <si>
    <t xml:space="preserve">BNK-CR-MISC-012</t>
  </si>
  <si>
    <t xml:space="preserve">Internal transfer</t>
  </si>
  <si>
    <t xml:space="preserve">BNK-X-001</t>
  </si>
  <si>
    <t xml:space="preserve">Transfer to savings account</t>
  </si>
  <si>
    <t xml:space="preserve">BNK-RP-012</t>
  </si>
  <si>
    <t xml:space="preserve">BNK-W-012</t>
  </si>
  <si>
    <t xml:space="preserve">BNK-B-INT-004</t>
  </si>
  <si>
    <t xml:space="preserve">BNK-CR-024</t>
  </si>
  <si>
    <t xml:space="preserve">BNK-DV-004</t>
  </si>
  <si>
    <t xml:space="preserve">Final dividend payment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</si>
</sst>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46327</v>
          </cell>
        </row>
        <row r="10">
          <cell r="B10">
            <v>46356</v>
          </cell>
        </row>
        <row r="11">
          <cell r="B11">
            <v>46357</v>
          </cell>
        </row>
        <row r="12">
          <cell r="B12">
            <v>46387</v>
          </cell>
        </row>
        <row r="13">
          <cell r="B13">
            <v>46388</v>
          </cell>
        </row>
        <row r="14">
          <cell r="B14">
            <v>46418</v>
          </cell>
        </row>
        <row r="15">
          <cell r="B15">
            <v>46419</v>
          </cell>
        </row>
        <row r="16">
          <cell r="B16">
            <v>46446</v>
          </cell>
        </row>
        <row r="17">
          <cell r="B17">
            <v>46447</v>
          </cell>
        </row>
        <row r="18">
          <cell r="B18">
            <v>46477</v>
          </cell>
        </row>
        <row r="19">
          <cell r="B19">
            <v>46478</v>
          </cell>
        </row>
        <row r="20">
          <cell r="B20">
            <v>46507</v>
          </cell>
        </row>
        <row r="21">
          <cell r="B21">
            <v>46508</v>
          </cell>
        </row>
        <row r="22">
          <cell r="B22">
            <v>46538</v>
          </cell>
        </row>
        <row r="23">
          <cell r="B23">
            <v>46539</v>
          </cell>
        </row>
        <row r="24">
          <cell r="B24">
            <v>46568</v>
          </cell>
        </row>
        <row r="25">
          <cell r="B25">
            <v>46569</v>
          </cell>
        </row>
        <row r="26">
          <cell r="B26">
            <v>46599</v>
          </cell>
        </row>
        <row r="27">
          <cell r="B27">
            <v>46600</v>
          </cell>
        </row>
        <row r="28">
          <cell r="B28">
            <v>46630</v>
          </cell>
        </row>
        <row r="29">
          <cell r="B29">
            <v>46631</v>
          </cell>
        </row>
        <row r="30">
          <cell r="B30">
            <v>46660</v>
          </cell>
        </row>
        <row r="31">
          <cell r="B31">
            <v>46661</v>
          </cell>
        </row>
        <row r="32">
          <cell r="B32">
            <v>46691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7" t="n">
        <v>25000</v>
      </c>
      <c r="B1" s="8" t="s">
        <v>0</v>
      </c>
      <c r="C1" s="9" t="n">
        <f aca="false">[1]Admin!$B$9</f>
        <v>46327</v>
      </c>
      <c r="D1" s="10" t="s">
        <v>1</v>
      </c>
      <c r="E1" s="11" t="n">
        <f aca="false">F1-SUM(G1:Q1)</f>
        <v>0</v>
      </c>
      <c r="F1" s="12" t="n">
        <f aca="false">SUM(F6:F200)</f>
        <v>44200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44200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12525.2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3700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500</v>
      </c>
    </row>
    <row r="2" customFormat="false" ht="15" hidden="false" customHeight="true" outlineLevel="0" collapsed="false">
      <c r="A2" s="17" t="n">
        <f aca="false">A1+F1-X1</f>
        <v>56674.8</v>
      </c>
      <c r="B2" s="18" t="s">
        <v>2</v>
      </c>
      <c r="C2" s="9" t="n">
        <f aca="false">[1]Admin!$B$10</f>
        <v>46356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46356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56674.8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46336</v>
      </c>
      <c r="B6" s="2" t="s">
        <v>58</v>
      </c>
      <c r="C6" s="3" t="s">
        <v>59</v>
      </c>
      <c r="D6" s="4" t="s">
        <v>60</v>
      </c>
      <c r="E6" s="38" t="s">
        <v>43</v>
      </c>
      <c r="F6" s="6" t="n">
        <v>7200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7200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46327</v>
      </c>
      <c r="T6" s="4" t="s">
        <v>61</v>
      </c>
      <c r="U6" s="3" t="s">
        <v>62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46341</v>
      </c>
      <c r="B7" s="2" t="s">
        <v>64</v>
      </c>
      <c r="C7" s="3" t="s">
        <v>65</v>
      </c>
      <c r="D7" s="4" t="s">
        <v>60</v>
      </c>
      <c r="E7" s="5" t="s">
        <v>43</v>
      </c>
      <c r="F7" s="6" t="n">
        <v>1200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1200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46327</v>
      </c>
      <c r="T7" s="4" t="s">
        <v>66</v>
      </c>
      <c r="U7" s="3" t="s">
        <v>67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46346</v>
      </c>
      <c r="B8" s="2" t="s">
        <v>58</v>
      </c>
      <c r="C8" s="3" t="s">
        <v>69</v>
      </c>
      <c r="D8" s="4" t="s">
        <v>70</v>
      </c>
      <c r="E8" s="5" t="s">
        <v>43</v>
      </c>
      <c r="F8" s="6" t="n">
        <v>8000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8000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46331</v>
      </c>
      <c r="T8" s="4" t="s">
        <v>71</v>
      </c>
      <c r="U8" s="3" t="s">
        <v>72</v>
      </c>
      <c r="V8" s="3" t="s">
        <v>73</v>
      </c>
      <c r="W8" s="42" t="s">
        <v>51</v>
      </c>
      <c r="X8" s="6" t="n">
        <v>2200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2200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46351</v>
      </c>
      <c r="B9" s="2" t="s">
        <v>74</v>
      </c>
      <c r="C9" s="3" t="s">
        <v>75</v>
      </c>
      <c r="D9" s="4" t="s">
        <v>70</v>
      </c>
      <c r="E9" s="5" t="s">
        <v>43</v>
      </c>
      <c r="F9" s="6" t="n">
        <v>2400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2400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46345</v>
      </c>
      <c r="T9" s="4" t="s">
        <v>76</v>
      </c>
      <c r="U9" s="3" t="s">
        <v>77</v>
      </c>
      <c r="V9" s="3" t="s">
        <v>78</v>
      </c>
      <c r="W9" s="42" t="s">
        <v>55</v>
      </c>
      <c r="X9" s="6" t="n">
        <v>1673.2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n">
        <f aca="false">IF(W9="RP",X9," ")</f>
        <v>1673.2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A10" s="1" t="n">
        <v>46351</v>
      </c>
      <c r="B10" s="2" t="s">
        <v>79</v>
      </c>
      <c r="C10" s="3" t="s">
        <v>80</v>
      </c>
      <c r="D10" s="4" t="s">
        <v>60</v>
      </c>
      <c r="E10" s="5" t="s">
        <v>43</v>
      </c>
      <c r="F10" s="6" t="n">
        <v>2400</v>
      </c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n">
        <f aca="false">IF(E10="DR",F10," ")</f>
        <v>2400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46354</v>
      </c>
      <c r="T10" s="4" t="s">
        <v>81</v>
      </c>
      <c r="U10" s="3" t="s">
        <v>82</v>
      </c>
      <c r="V10" s="3" t="s">
        <v>83</v>
      </c>
      <c r="W10" s="42" t="s">
        <v>52</v>
      </c>
      <c r="X10" s="6" t="n">
        <v>5652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n">
        <f aca="false">IF(W10="W",X10," ")</f>
        <v>5652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A11" s="1" t="n">
        <v>46354</v>
      </c>
      <c r="B11" s="2" t="s">
        <v>84</v>
      </c>
      <c r="C11" s="3" t="s">
        <v>85</v>
      </c>
      <c r="D11" s="4" t="s">
        <v>86</v>
      </c>
      <c r="E11" s="5" t="s">
        <v>43</v>
      </c>
      <c r="F11" s="6" t="n">
        <v>23000</v>
      </c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n">
        <f aca="false">IF(E11="DR",F11," ")</f>
        <v>23000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46356</v>
      </c>
      <c r="T11" s="4" t="s">
        <v>87</v>
      </c>
      <c r="U11" s="3" t="s">
        <v>88</v>
      </c>
      <c r="V11" s="3" t="s">
        <v>89</v>
      </c>
      <c r="W11" s="42" t="s">
        <v>51</v>
      </c>
      <c r="X11" s="6" t="n">
        <v>300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n">
        <f aca="false">IF(W11="CR",X11," ")</f>
        <v>300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46356</v>
      </c>
      <c r="T12" s="4" t="s">
        <v>90</v>
      </c>
      <c r="U12" s="3" t="s">
        <v>91</v>
      </c>
      <c r="V12" s="3" t="s">
        <v>92</v>
      </c>
      <c r="W12" s="42" t="s">
        <v>50</v>
      </c>
      <c r="X12" s="6" t="n">
        <v>500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n">
        <f aca="false">IF(W12="X",X12," ")</f>
        <v>500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W13" s="42"/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Nov!A2</f>
        <v>56674.8</v>
      </c>
      <c r="B1" s="8" t="s">
        <v>0</v>
      </c>
      <c r="C1" s="9" t="n">
        <f aca="false">[1]Admin!$B$11</f>
        <v>46357</v>
      </c>
      <c r="D1" s="10" t="s">
        <v>1</v>
      </c>
      <c r="E1" s="11" t="n">
        <f aca="false">F1-SUM(G1:Q1)</f>
        <v>0</v>
      </c>
      <c r="F1" s="12" t="n">
        <f aca="false">SUM(F6:F200)</f>
        <v>32920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32920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14150.2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4300</v>
      </c>
      <c r="AC1" s="12" t="n">
        <f aca="false">SUM(AC6:AC200)</f>
        <v>5652</v>
      </c>
      <c r="AD1" s="12" t="n">
        <f aca="false">SUM(AD6:AD200)</f>
        <v>25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1500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75444.6</v>
      </c>
      <c r="B2" s="18" t="s">
        <v>2</v>
      </c>
      <c r="C2" s="9" t="n">
        <f aca="false">[1]Admin!$B$12</f>
        <v>46387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46387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75444.6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46376</v>
      </c>
      <c r="B6" s="2" t="s">
        <v>58</v>
      </c>
      <c r="C6" s="3" t="s">
        <v>93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46357</v>
      </c>
      <c r="T6" s="4" t="s">
        <v>61</v>
      </c>
      <c r="U6" s="3" t="s">
        <v>94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46381</v>
      </c>
      <c r="B7" s="2" t="s">
        <v>74</v>
      </c>
      <c r="C7" s="3" t="s">
        <v>95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46357</v>
      </c>
      <c r="T7" s="4" t="s">
        <v>66</v>
      </c>
      <c r="U7" s="3" t="s">
        <v>96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46384</v>
      </c>
      <c r="B8" s="2" t="s">
        <v>84</v>
      </c>
      <c r="C8" s="3" t="s">
        <v>97</v>
      </c>
      <c r="D8" s="4" t="s">
        <v>86</v>
      </c>
      <c r="E8" s="5" t="s">
        <v>43</v>
      </c>
      <c r="F8" s="6" t="n">
        <v>22520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22520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46361</v>
      </c>
      <c r="T8" s="4" t="s">
        <v>71</v>
      </c>
      <c r="U8" s="3" t="s">
        <v>98</v>
      </c>
      <c r="V8" s="3" t="s">
        <v>73</v>
      </c>
      <c r="W8" s="42" t="s">
        <v>51</v>
      </c>
      <c r="X8" s="6" t="n">
        <v>2800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2800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46375</v>
      </c>
      <c r="T9" s="4" t="s">
        <v>76</v>
      </c>
      <c r="U9" s="3" t="s">
        <v>99</v>
      </c>
      <c r="V9" s="3" t="s">
        <v>78</v>
      </c>
      <c r="W9" s="42" t="s">
        <v>55</v>
      </c>
      <c r="X9" s="6" t="n">
        <v>1673.2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n">
        <f aca="false">IF(W9="RP",X9," ")</f>
        <v>1673.2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46381</v>
      </c>
      <c r="T10" s="4" t="s">
        <v>100</v>
      </c>
      <c r="U10" s="3" t="s">
        <v>101</v>
      </c>
      <c r="V10" s="3" t="s">
        <v>102</v>
      </c>
      <c r="W10" s="42" t="s">
        <v>53</v>
      </c>
      <c r="X10" s="6" t="n">
        <v>25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n">
        <f aca="false">IF(W10="B",X10," ")</f>
        <v>25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46384</v>
      </c>
      <c r="T11" s="4" t="s">
        <v>81</v>
      </c>
      <c r="U11" s="3" t="s">
        <v>103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46387</v>
      </c>
      <c r="T12" s="4" t="s">
        <v>87</v>
      </c>
      <c r="U12" s="3" t="s">
        <v>104</v>
      </c>
      <c r="V12" s="3" t="s">
        <v>89</v>
      </c>
      <c r="W12" s="42" t="s">
        <v>51</v>
      </c>
      <c r="X12" s="6" t="n">
        <v>300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n">
        <f aca="false">IF(W12="CR",X12," ")</f>
        <v>300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46363</v>
      </c>
      <c r="T13" s="4" t="s">
        <v>76</v>
      </c>
      <c r="U13" s="3" t="s">
        <v>105</v>
      </c>
      <c r="V13" s="3" t="s">
        <v>106</v>
      </c>
      <c r="W13" s="42" t="s">
        <v>47</v>
      </c>
      <c r="X13" s="6" t="n">
        <v>1500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n">
        <f aca="false">IF(W13="RV",X13," ")</f>
        <v>1500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Dec!A2</f>
        <v>75444.6</v>
      </c>
      <c r="B1" s="8" t="s">
        <v>0</v>
      </c>
      <c r="C1" s="9" t="n">
        <f aca="false">[1]Admin!$B$13</f>
        <v>46388</v>
      </c>
      <c r="D1" s="10" t="s">
        <v>1</v>
      </c>
      <c r="E1" s="11" t="n">
        <f aca="false">F1-SUM(G1:Q1)</f>
        <v>0</v>
      </c>
      <c r="F1" s="12" t="n">
        <f aca="false">SUM(F6:F200)</f>
        <v>35200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35200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27675.2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100</v>
      </c>
      <c r="AB1" s="12" t="n">
        <f aca="false">SUM(AB6:AB200)</f>
        <v>17000</v>
      </c>
      <c r="AC1" s="12" t="n">
        <f aca="false">SUM(AC6:AC200)</f>
        <v>5652</v>
      </c>
      <c r="AD1" s="12" t="n">
        <f aca="false">SUM(AD6:AD200)</f>
        <v>2250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82969.4</v>
      </c>
      <c r="B2" s="18" t="s">
        <v>2</v>
      </c>
      <c r="C2" s="9" t="n">
        <f aca="false">[1]Admin!$B$14</f>
        <v>46418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46418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82969.4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46407</v>
      </c>
      <c r="B6" s="2" t="s">
        <v>58</v>
      </c>
      <c r="C6" s="3" t="s">
        <v>107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46388</v>
      </c>
      <c r="T6" s="4" t="s">
        <v>61</v>
      </c>
      <c r="U6" s="3" t="s">
        <v>108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46412</v>
      </c>
      <c r="B7" s="2" t="s">
        <v>74</v>
      </c>
      <c r="C7" s="3" t="s">
        <v>109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46388</v>
      </c>
      <c r="T7" s="4" t="s">
        <v>66</v>
      </c>
      <c r="U7" s="3" t="s">
        <v>110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46415</v>
      </c>
      <c r="B8" s="2" t="s">
        <v>84</v>
      </c>
      <c r="C8" s="3" t="s">
        <v>111</v>
      </c>
      <c r="D8" s="4" t="s">
        <v>86</v>
      </c>
      <c r="E8" s="5" t="s">
        <v>43</v>
      </c>
      <c r="F8" s="6" t="n">
        <v>24800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24800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46392</v>
      </c>
      <c r="T8" s="4" t="s">
        <v>71</v>
      </c>
      <c r="U8" s="3" t="s">
        <v>112</v>
      </c>
      <c r="V8" s="3" t="s">
        <v>73</v>
      </c>
      <c r="W8" s="42" t="s">
        <v>51</v>
      </c>
      <c r="X8" s="6" t="n">
        <v>2500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2500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46397</v>
      </c>
      <c r="T9" s="4" t="s">
        <v>113</v>
      </c>
      <c r="U9" s="3" t="s">
        <v>114</v>
      </c>
      <c r="V9" s="3" t="s">
        <v>115</v>
      </c>
      <c r="W9" s="42" t="s">
        <v>42</v>
      </c>
      <c r="X9" s="6" t="n">
        <v>100</v>
      </c>
      <c r="Y9" s="6" t="str">
        <f aca="false">IF(W9="BS",X9," ")</f>
        <v> </v>
      </c>
      <c r="Z9" s="6" t="str">
        <f aca="false">IF(W9="BD",X9," ")</f>
        <v> </v>
      </c>
      <c r="AA9" s="6" t="n">
        <f aca="false">IF(W9="BC",X9," ")</f>
        <v>100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46406</v>
      </c>
      <c r="T10" s="4" t="s">
        <v>76</v>
      </c>
      <c r="U10" s="3" t="s">
        <v>116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46415</v>
      </c>
      <c r="T11" s="4" t="s">
        <v>81</v>
      </c>
      <c r="U11" s="3" t="s">
        <v>117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46417</v>
      </c>
      <c r="T12" s="4" t="s">
        <v>118</v>
      </c>
      <c r="U12" s="3" t="s">
        <v>119</v>
      </c>
      <c r="V12" s="3" t="s">
        <v>120</v>
      </c>
      <c r="W12" s="42" t="s">
        <v>53</v>
      </c>
      <c r="X12" s="6" t="n">
        <v>250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n">
        <f aca="false">IF(W12="B",X12," ")</f>
        <v>250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46417</v>
      </c>
      <c r="T13" s="4" t="s">
        <v>87</v>
      </c>
      <c r="U13" s="3" t="s">
        <v>121</v>
      </c>
      <c r="V13" s="3" t="s">
        <v>89</v>
      </c>
      <c r="W13" s="42" t="s">
        <v>51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n">
        <f aca="false">IF(W13="CR",X13," ")</f>
        <v>300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S14" s="1" t="n">
        <v>46388</v>
      </c>
      <c r="T14" s="4" t="s">
        <v>122</v>
      </c>
      <c r="U14" s="3" t="s">
        <v>123</v>
      </c>
      <c r="V14" s="3" t="s">
        <v>124</v>
      </c>
      <c r="W14" s="42" t="s">
        <v>53</v>
      </c>
      <c r="X14" s="6" t="n">
        <v>2000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n">
        <f aca="false">IF(W14="B",X14," ")</f>
        <v>2000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S15" s="1" t="n">
        <v>46388</v>
      </c>
      <c r="T15" s="4" t="s">
        <v>122</v>
      </c>
      <c r="U15" s="3" t="s">
        <v>125</v>
      </c>
      <c r="V15" s="3" t="s">
        <v>126</v>
      </c>
      <c r="W15" s="42" t="s">
        <v>51</v>
      </c>
      <c r="X15" s="6" t="n">
        <v>13000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n">
        <f aca="false">IF(W15="CR",X15," ")</f>
        <v>13000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Jan!A2</f>
        <v>82969.4</v>
      </c>
      <c r="B1" s="8" t="s">
        <v>0</v>
      </c>
      <c r="C1" s="9" t="n">
        <f aca="false">[1]Admin!$B$15</f>
        <v>46419</v>
      </c>
      <c r="D1" s="10" t="s">
        <v>1</v>
      </c>
      <c r="E1" s="11" t="n">
        <f aca="false">F1-SUM(G1:Q1)</f>
        <v>0</v>
      </c>
      <c r="F1" s="12" t="n">
        <f aca="false">SUM(F6:F200)</f>
        <v>33760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33760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16425.2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3800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1000</v>
      </c>
      <c r="AK1" s="12" t="n">
        <f aca="false">SUM(AK6:AK200)</f>
        <v>0</v>
      </c>
      <c r="AL1" s="12" t="n">
        <f aca="false">SUM(AL6:AL200)</f>
        <v>3000</v>
      </c>
      <c r="AM1" s="12" t="n">
        <f aca="false">SUM(AM6:AM200)</f>
        <v>1000</v>
      </c>
      <c r="AN1" s="12" t="n">
        <f aca="false">SUM(AN6:AN200)</f>
        <v>300</v>
      </c>
    </row>
    <row r="2" customFormat="false" ht="15" hidden="false" customHeight="true" outlineLevel="0" collapsed="false">
      <c r="A2" s="17" t="n">
        <f aca="false">A1+F1-X1</f>
        <v>100304.2</v>
      </c>
      <c r="B2" s="18" t="s">
        <v>2</v>
      </c>
      <c r="C2" s="9" t="n">
        <f aca="false">[1]Admin!$B$16</f>
        <v>46446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46446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100304.2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46438</v>
      </c>
      <c r="B6" s="2" t="s">
        <v>58</v>
      </c>
      <c r="C6" s="3" t="s">
        <v>127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46419</v>
      </c>
      <c r="T6" s="4" t="s">
        <v>61</v>
      </c>
      <c r="U6" s="3" t="s">
        <v>128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46443</v>
      </c>
      <c r="B7" s="2" t="s">
        <v>74</v>
      </c>
      <c r="C7" s="3" t="s">
        <v>129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46419</v>
      </c>
      <c r="T7" s="4" t="s">
        <v>66</v>
      </c>
      <c r="U7" s="3" t="s">
        <v>130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46446</v>
      </c>
      <c r="B8" s="2" t="s">
        <v>84</v>
      </c>
      <c r="C8" s="3" t="s">
        <v>131</v>
      </c>
      <c r="D8" s="4" t="s">
        <v>86</v>
      </c>
      <c r="E8" s="5" t="s">
        <v>43</v>
      </c>
      <c r="F8" s="6" t="n">
        <v>23360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23360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46423</v>
      </c>
      <c r="T8" s="4" t="s">
        <v>71</v>
      </c>
      <c r="U8" s="3" t="s">
        <v>132</v>
      </c>
      <c r="V8" s="3" t="s">
        <v>73</v>
      </c>
      <c r="W8" s="42" t="s">
        <v>51</v>
      </c>
      <c r="X8" s="6" t="n">
        <v>2300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2300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46433</v>
      </c>
      <c r="T9" s="4" t="s">
        <v>133</v>
      </c>
      <c r="U9" s="3" t="s">
        <v>134</v>
      </c>
      <c r="V9" s="3" t="s">
        <v>135</v>
      </c>
      <c r="W9" s="42" t="s">
        <v>57</v>
      </c>
      <c r="X9" s="6" t="n">
        <v>3000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n">
        <f aca="false">IF(W9="DV",X9," ")</f>
        <v>3000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46437</v>
      </c>
      <c r="T10" s="4" t="s">
        <v>76</v>
      </c>
      <c r="U10" s="3" t="s">
        <v>136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46437</v>
      </c>
      <c r="T11" s="4" t="s">
        <v>76</v>
      </c>
      <c r="U11" s="3" t="s">
        <v>137</v>
      </c>
      <c r="V11" s="3" t="s">
        <v>138</v>
      </c>
      <c r="W11" s="42" t="s">
        <v>48</v>
      </c>
      <c r="X11" s="6" t="n">
        <v>1000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n">
        <f aca="false">IF(W11="RC",X11," ")</f>
        <v>1000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46446</v>
      </c>
      <c r="T12" s="4" t="s">
        <v>81</v>
      </c>
      <c r="U12" s="3" t="s">
        <v>139</v>
      </c>
      <c r="V12" s="3" t="s">
        <v>83</v>
      </c>
      <c r="W12" s="42" t="s">
        <v>52</v>
      </c>
      <c r="X12" s="6" t="n">
        <v>5652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n">
        <f aca="false">IF(W12="W",X12," ")</f>
        <v>5652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46446</v>
      </c>
      <c r="T13" s="4" t="s">
        <v>87</v>
      </c>
      <c r="U13" s="3" t="s">
        <v>140</v>
      </c>
      <c r="V13" s="3" t="s">
        <v>89</v>
      </c>
      <c r="W13" s="42" t="s">
        <v>51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n">
        <f aca="false">IF(W13="CR",X13," ")</f>
        <v>300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S14" s="1" t="n">
        <v>46446</v>
      </c>
      <c r="T14" s="4" t="s">
        <v>90</v>
      </c>
      <c r="U14" s="3" t="s">
        <v>141</v>
      </c>
      <c r="V14" s="3" t="s">
        <v>92</v>
      </c>
      <c r="W14" s="42" t="s">
        <v>50</v>
      </c>
      <c r="X14" s="6" t="n">
        <v>300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n">
        <f aca="false">IF(W14="X",X14," ")</f>
        <v>300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Feb!A2</f>
        <v>100304.2</v>
      </c>
      <c r="B1" s="8" t="s">
        <v>0</v>
      </c>
      <c r="C1" s="9" t="n">
        <f aca="false">[1]Admin!$B$17</f>
        <v>46447</v>
      </c>
      <c r="D1" s="10" t="s">
        <v>1</v>
      </c>
      <c r="E1" s="11" t="n">
        <f aca="false">F1-SUM(G1:Q1)</f>
        <v>0</v>
      </c>
      <c r="F1" s="12" t="n">
        <f aca="false">SUM(F6:F200)</f>
        <v>38520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38520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26233.37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4100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13808.17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112590.83</v>
      </c>
      <c r="B2" s="18" t="s">
        <v>2</v>
      </c>
      <c r="C2" s="9" t="n">
        <f aca="false">[1]Admin!$B$18</f>
        <v>46477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46477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112590.83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46451</v>
      </c>
      <c r="B6" s="2" t="s">
        <v>142</v>
      </c>
      <c r="C6" s="3" t="s">
        <v>143</v>
      </c>
      <c r="D6" s="4" t="s">
        <v>144</v>
      </c>
      <c r="E6" s="38" t="s">
        <v>43</v>
      </c>
      <c r="F6" s="6" t="n">
        <v>2500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2500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46453</v>
      </c>
      <c r="T6" s="4" t="s">
        <v>76</v>
      </c>
      <c r="U6" s="3" t="s">
        <v>145</v>
      </c>
      <c r="V6" s="3" t="s">
        <v>146</v>
      </c>
      <c r="W6" s="40" t="s">
        <v>47</v>
      </c>
      <c r="X6" s="6" t="n">
        <v>13808.17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n">
        <f aca="false">IF(W6="RV",X6," ")</f>
        <v>13808.17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46466</v>
      </c>
      <c r="B7" s="2" t="s">
        <v>58</v>
      </c>
      <c r="C7" s="3" t="s">
        <v>147</v>
      </c>
      <c r="D7" s="4" t="s">
        <v>70</v>
      </c>
      <c r="E7" s="5" t="s">
        <v>43</v>
      </c>
      <c r="F7" s="6" t="n">
        <v>8000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8000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46447</v>
      </c>
      <c r="T7" s="4" t="s">
        <v>61</v>
      </c>
      <c r="U7" s="3" t="s">
        <v>148</v>
      </c>
      <c r="V7" s="3" t="s">
        <v>63</v>
      </c>
      <c r="W7" s="42" t="s">
        <v>51</v>
      </c>
      <c r="X7" s="6" t="n">
        <v>1200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n">
        <f aca="false">IF(W7="CR",X7," ")</f>
        <v>1200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46471</v>
      </c>
      <c r="B8" s="2" t="s">
        <v>74</v>
      </c>
      <c r="C8" s="3" t="s">
        <v>149</v>
      </c>
      <c r="D8" s="4" t="s">
        <v>70</v>
      </c>
      <c r="E8" s="5" t="s">
        <v>43</v>
      </c>
      <c r="F8" s="6" t="n">
        <v>2400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2400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46447</v>
      </c>
      <c r="T8" s="4" t="s">
        <v>66</v>
      </c>
      <c r="U8" s="3" t="s">
        <v>150</v>
      </c>
      <c r="V8" s="3" t="s">
        <v>68</v>
      </c>
      <c r="W8" s="42" t="s">
        <v>49</v>
      </c>
      <c r="X8" s="6" t="n">
        <v>1000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n">
        <f aca="false">IF(W8="DL",X8," ")</f>
        <v>1000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46474</v>
      </c>
      <c r="B9" s="2" t="s">
        <v>84</v>
      </c>
      <c r="C9" s="3" t="s">
        <v>151</v>
      </c>
      <c r="D9" s="4" t="s">
        <v>86</v>
      </c>
      <c r="E9" s="5" t="s">
        <v>43</v>
      </c>
      <c r="F9" s="6" t="n">
        <v>25620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25620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46451</v>
      </c>
      <c r="T9" s="4" t="s">
        <v>71</v>
      </c>
      <c r="U9" s="3" t="s">
        <v>152</v>
      </c>
      <c r="V9" s="3" t="s">
        <v>73</v>
      </c>
      <c r="W9" s="42" t="s">
        <v>51</v>
      </c>
      <c r="X9" s="6" t="n">
        <v>2600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n">
        <f aca="false">IF(W9="CR",X9," ")</f>
        <v>2600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46465</v>
      </c>
      <c r="T10" s="4" t="s">
        <v>76</v>
      </c>
      <c r="U10" s="3" t="s">
        <v>153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46474</v>
      </c>
      <c r="T11" s="4" t="s">
        <v>81</v>
      </c>
      <c r="U11" s="3" t="s">
        <v>154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46477</v>
      </c>
      <c r="T12" s="4" t="s">
        <v>87</v>
      </c>
      <c r="U12" s="3" t="s">
        <v>155</v>
      </c>
      <c r="V12" s="3" t="s">
        <v>89</v>
      </c>
      <c r="W12" s="42" t="s">
        <v>51</v>
      </c>
      <c r="X12" s="6" t="n">
        <v>300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n">
        <f aca="false">IF(W12="CR",X12," ")</f>
        <v>300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W13" s="42"/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Mar!A2</f>
        <v>112590.83</v>
      </c>
      <c r="B1" s="8" t="s">
        <v>0</v>
      </c>
      <c r="C1" s="9" t="n">
        <f aca="false">[1]Admin!$B$19</f>
        <v>46478</v>
      </c>
      <c r="D1" s="10" t="s">
        <v>1</v>
      </c>
      <c r="E1" s="11" t="n">
        <f aca="false">F1-SUM(G1:Q1)</f>
        <v>0</v>
      </c>
      <c r="F1" s="12" t="n">
        <f aca="false">SUM(F6:F200)</f>
        <v>33760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33760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20233.2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10600</v>
      </c>
      <c r="AC1" s="12" t="n">
        <f aca="false">SUM(AC6:AC200)</f>
        <v>5652</v>
      </c>
      <c r="AD1" s="12" t="n">
        <f aca="false">SUM(AD6:AD200)</f>
        <v>1308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126117.63</v>
      </c>
      <c r="B2" s="18" t="s">
        <v>2</v>
      </c>
      <c r="C2" s="9" t="n">
        <f aca="false">[1]Admin!$B$20</f>
        <v>46507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46507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126117.63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46497</v>
      </c>
      <c r="B6" s="2" t="s">
        <v>58</v>
      </c>
      <c r="C6" s="3" t="s">
        <v>156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46478</v>
      </c>
      <c r="T6" s="4" t="s">
        <v>61</v>
      </c>
      <c r="U6" s="3" t="s">
        <v>157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46502</v>
      </c>
      <c r="B7" s="2" t="s">
        <v>74</v>
      </c>
      <c r="C7" s="3" t="s">
        <v>158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46478</v>
      </c>
      <c r="T7" s="4" t="s">
        <v>66</v>
      </c>
      <c r="U7" s="3" t="s">
        <v>159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46505</v>
      </c>
      <c r="B8" s="2" t="s">
        <v>84</v>
      </c>
      <c r="C8" s="3" t="s">
        <v>160</v>
      </c>
      <c r="D8" s="4" t="s">
        <v>86</v>
      </c>
      <c r="E8" s="5" t="s">
        <v>43</v>
      </c>
      <c r="F8" s="6" t="n">
        <v>23360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23360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46482</v>
      </c>
      <c r="T8" s="4" t="s">
        <v>71</v>
      </c>
      <c r="U8" s="3" t="s">
        <v>161</v>
      </c>
      <c r="V8" s="3" t="s">
        <v>73</v>
      </c>
      <c r="W8" s="42" t="s">
        <v>51</v>
      </c>
      <c r="X8" s="6" t="n">
        <v>2100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2100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46496</v>
      </c>
      <c r="T9" s="4" t="s">
        <v>76</v>
      </c>
      <c r="U9" s="3" t="s">
        <v>162</v>
      </c>
      <c r="V9" s="3" t="s">
        <v>78</v>
      </c>
      <c r="W9" s="42" t="s">
        <v>55</v>
      </c>
      <c r="X9" s="6" t="n">
        <v>1673.2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n">
        <f aca="false">IF(W9="RP",X9," ")</f>
        <v>1673.2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46505</v>
      </c>
      <c r="T10" s="4" t="s">
        <v>81</v>
      </c>
      <c r="U10" s="3" t="s">
        <v>163</v>
      </c>
      <c r="V10" s="3" t="s">
        <v>83</v>
      </c>
      <c r="W10" s="42" t="s">
        <v>52</v>
      </c>
      <c r="X10" s="6" t="n">
        <v>5652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n">
        <f aca="false">IF(W10="W",X10," ")</f>
        <v>5652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46507</v>
      </c>
      <c r="T11" s="4" t="s">
        <v>118</v>
      </c>
      <c r="U11" s="3" t="s">
        <v>164</v>
      </c>
      <c r="V11" s="3" t="s">
        <v>120</v>
      </c>
      <c r="W11" s="42" t="s">
        <v>53</v>
      </c>
      <c r="X11" s="6" t="n">
        <v>208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n">
        <f aca="false">IF(W11="B",X11," ")</f>
        <v>208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46507</v>
      </c>
      <c r="T12" s="4" t="s">
        <v>87</v>
      </c>
      <c r="U12" s="3" t="s">
        <v>165</v>
      </c>
      <c r="V12" s="3" t="s">
        <v>89</v>
      </c>
      <c r="W12" s="42" t="s">
        <v>51</v>
      </c>
      <c r="X12" s="6" t="n">
        <v>300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n">
        <f aca="false">IF(W12="CR",X12," ")</f>
        <v>300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46478</v>
      </c>
      <c r="T13" s="4" t="s">
        <v>122</v>
      </c>
      <c r="U13" s="3" t="s">
        <v>166</v>
      </c>
      <c r="V13" s="3" t="s">
        <v>167</v>
      </c>
      <c r="W13" s="42" t="s">
        <v>53</v>
      </c>
      <c r="X13" s="6" t="n">
        <v>1100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n">
        <f aca="false">IF(W13="B",X13," ")</f>
        <v>1100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S14" s="1" t="n">
        <v>46478</v>
      </c>
      <c r="T14" s="4" t="s">
        <v>122</v>
      </c>
      <c r="U14" s="3" t="s">
        <v>168</v>
      </c>
      <c r="V14" s="3" t="s">
        <v>169</v>
      </c>
      <c r="W14" s="42" t="s">
        <v>51</v>
      </c>
      <c r="X14" s="6" t="n">
        <v>7000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n">
        <f aca="false">IF(W14="CR",X14," ")</f>
        <v>7000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Apr!A2</f>
        <v>126117.63</v>
      </c>
      <c r="B1" s="8" t="s">
        <v>0</v>
      </c>
      <c r="C1" s="9" t="n">
        <f aca="false">[1]Admin!$B$21</f>
        <v>46508</v>
      </c>
      <c r="D1" s="10" t="s">
        <v>1</v>
      </c>
      <c r="E1" s="11" t="n">
        <f aca="false">F1-SUM(G1:Q1)</f>
        <v>0</v>
      </c>
      <c r="F1" s="12" t="n">
        <f aca="false">SUM(F6:F200)</f>
        <v>50560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50560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56825.2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40500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4500</v>
      </c>
      <c r="AL1" s="12" t="n">
        <f aca="false">SUM(AL6:AL200)</f>
        <v>3000</v>
      </c>
      <c r="AM1" s="12" t="n">
        <f aca="false">SUM(AM6:AM200)</f>
        <v>1000</v>
      </c>
      <c r="AN1" s="12" t="n">
        <f aca="false">SUM(AN6:AN200)</f>
        <v>500</v>
      </c>
    </row>
    <row r="2" customFormat="false" ht="15" hidden="false" customHeight="true" outlineLevel="0" collapsed="false">
      <c r="A2" s="17" t="n">
        <f aca="false">A1+F1-X1</f>
        <v>119852.43</v>
      </c>
      <c r="B2" s="18" t="s">
        <v>2</v>
      </c>
      <c r="C2" s="9" t="n">
        <f aca="false">[1]Admin!$B$22</f>
        <v>46538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46538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119852.43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46522</v>
      </c>
      <c r="B6" s="2" t="s">
        <v>170</v>
      </c>
      <c r="C6" s="3" t="s">
        <v>171</v>
      </c>
      <c r="D6" s="4" t="s">
        <v>172</v>
      </c>
      <c r="E6" s="38" t="s">
        <v>43</v>
      </c>
      <c r="F6" s="6" t="n">
        <v>15000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15000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46508</v>
      </c>
      <c r="T6" s="4" t="s">
        <v>61</v>
      </c>
      <c r="U6" s="3" t="s">
        <v>173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46527</v>
      </c>
      <c r="B7" s="2" t="s">
        <v>58</v>
      </c>
      <c r="C7" s="3" t="s">
        <v>174</v>
      </c>
      <c r="D7" s="4" t="s">
        <v>70</v>
      </c>
      <c r="E7" s="5" t="s">
        <v>43</v>
      </c>
      <c r="F7" s="6" t="n">
        <v>8000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8000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46508</v>
      </c>
      <c r="T7" s="4" t="s">
        <v>66</v>
      </c>
      <c r="U7" s="3" t="s">
        <v>175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46532</v>
      </c>
      <c r="B8" s="2" t="s">
        <v>74</v>
      </c>
      <c r="C8" s="3" t="s">
        <v>176</v>
      </c>
      <c r="D8" s="4" t="s">
        <v>70</v>
      </c>
      <c r="E8" s="5" t="s">
        <v>43</v>
      </c>
      <c r="F8" s="6" t="n">
        <v>2400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2400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46508</v>
      </c>
      <c r="T8" s="4" t="s">
        <v>76</v>
      </c>
      <c r="U8" s="3" t="s">
        <v>177</v>
      </c>
      <c r="V8" s="3" t="s">
        <v>178</v>
      </c>
      <c r="W8" s="42" t="s">
        <v>56</v>
      </c>
      <c r="X8" s="6" t="n">
        <v>4500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n">
        <f aca="false">IF(W8="RT",X8," ")</f>
        <v>4500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46535</v>
      </c>
      <c r="B9" s="2" t="s">
        <v>84</v>
      </c>
      <c r="C9" s="3" t="s">
        <v>179</v>
      </c>
      <c r="D9" s="4" t="s">
        <v>86</v>
      </c>
      <c r="E9" s="5" t="s">
        <v>43</v>
      </c>
      <c r="F9" s="6" t="n">
        <v>25160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25160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46512</v>
      </c>
      <c r="T9" s="4" t="s">
        <v>71</v>
      </c>
      <c r="U9" s="3" t="s">
        <v>180</v>
      </c>
      <c r="V9" s="3" t="s">
        <v>73</v>
      </c>
      <c r="W9" s="42" t="s">
        <v>51</v>
      </c>
      <c r="X9" s="6" t="n">
        <v>3000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n">
        <f aca="false">IF(W9="CR",X9," ")</f>
        <v>3000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46522</v>
      </c>
      <c r="T10" s="4" t="s">
        <v>133</v>
      </c>
      <c r="U10" s="3" t="s">
        <v>181</v>
      </c>
      <c r="V10" s="3" t="s">
        <v>135</v>
      </c>
      <c r="W10" s="42" t="s">
        <v>57</v>
      </c>
      <c r="X10" s="6" t="n">
        <v>3000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n">
        <f aca="false">IF(W10="DV",X10," ")</f>
        <v>3000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46526</v>
      </c>
      <c r="T11" s="4" t="s">
        <v>76</v>
      </c>
      <c r="U11" s="3" t="s">
        <v>182</v>
      </c>
      <c r="V11" s="3" t="s">
        <v>78</v>
      </c>
      <c r="W11" s="42" t="s">
        <v>55</v>
      </c>
      <c r="X11" s="6" t="n">
        <v>1673.2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n">
        <f aca="false">IF(W11="RP",X11," ")</f>
        <v>1673.2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46532</v>
      </c>
      <c r="T12" s="4" t="s">
        <v>183</v>
      </c>
      <c r="U12" s="3" t="s">
        <v>184</v>
      </c>
      <c r="V12" s="3" t="s">
        <v>185</v>
      </c>
      <c r="W12" s="42" t="s">
        <v>51</v>
      </c>
      <c r="X12" s="6" t="n">
        <v>36000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n">
        <f aca="false">IF(W12="CR",X12," ")</f>
        <v>36000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46535</v>
      </c>
      <c r="T13" s="4" t="s">
        <v>81</v>
      </c>
      <c r="U13" s="3" t="s">
        <v>186</v>
      </c>
      <c r="V13" s="3" t="s">
        <v>83</v>
      </c>
      <c r="W13" s="42" t="s">
        <v>52</v>
      </c>
      <c r="X13" s="6" t="n">
        <v>5652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n">
        <f aca="false">IF(W13="W",X13," ")</f>
        <v>5652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S14" s="1" t="n">
        <v>46538</v>
      </c>
      <c r="T14" s="4" t="s">
        <v>87</v>
      </c>
      <c r="U14" s="3" t="s">
        <v>187</v>
      </c>
      <c r="V14" s="3" t="s">
        <v>89</v>
      </c>
      <c r="W14" s="42" t="s">
        <v>51</v>
      </c>
      <c r="X14" s="6" t="n">
        <v>300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n">
        <f aca="false">IF(W14="CR",X14," ")</f>
        <v>300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S15" s="1" t="n">
        <v>46538</v>
      </c>
      <c r="T15" s="4" t="s">
        <v>90</v>
      </c>
      <c r="U15" s="3" t="s">
        <v>188</v>
      </c>
      <c r="V15" s="3" t="s">
        <v>92</v>
      </c>
      <c r="W15" s="42" t="s">
        <v>50</v>
      </c>
      <c r="X15" s="6" t="n">
        <v>500</v>
      </c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n">
        <f aca="false">IF(W15="X",X15," ")</f>
        <v>500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May!A2</f>
        <v>119852.43</v>
      </c>
      <c r="B1" s="8" t="s">
        <v>0</v>
      </c>
      <c r="C1" s="9" t="n">
        <f aca="false">[1]Admin!$B$23</f>
        <v>46539</v>
      </c>
      <c r="D1" s="10" t="s">
        <v>1</v>
      </c>
      <c r="E1" s="11" t="n">
        <f aca="false">F1-SUM(G1:Q1)</f>
        <v>0</v>
      </c>
      <c r="F1" s="12" t="n">
        <f aca="false">SUM(F6:F200)</f>
        <v>35320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35320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26706.7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3900</v>
      </c>
      <c r="AC1" s="12" t="n">
        <f aca="false">SUM(AC6:AC200)</f>
        <v>5652</v>
      </c>
      <c r="AD1" s="12" t="n">
        <f aca="false">SUM(AD6:AD200)</f>
        <v>25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14456.5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128465.73</v>
      </c>
      <c r="B2" s="18" t="s">
        <v>2</v>
      </c>
      <c r="C2" s="9" t="n">
        <f aca="false">[1]Admin!$B$24</f>
        <v>46568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46568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128465.73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46558</v>
      </c>
      <c r="B6" s="2" t="s">
        <v>58</v>
      </c>
      <c r="C6" s="3" t="s">
        <v>189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46545</v>
      </c>
      <c r="T6" s="4" t="s">
        <v>76</v>
      </c>
      <c r="U6" s="3" t="s">
        <v>190</v>
      </c>
      <c r="V6" s="3" t="s">
        <v>191</v>
      </c>
      <c r="W6" s="40" t="s">
        <v>47</v>
      </c>
      <c r="X6" s="6" t="n">
        <v>14456.5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n">
        <f aca="false">IF(W6="RV",X6," ")</f>
        <v>14456.5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46563</v>
      </c>
      <c r="B7" s="2" t="s">
        <v>74</v>
      </c>
      <c r="C7" s="3" t="s">
        <v>192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46539</v>
      </c>
      <c r="T7" s="4" t="s">
        <v>61</v>
      </c>
      <c r="U7" s="3" t="s">
        <v>193</v>
      </c>
      <c r="V7" s="3" t="s">
        <v>63</v>
      </c>
      <c r="W7" s="42" t="s">
        <v>51</v>
      </c>
      <c r="X7" s="6" t="n">
        <v>1200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n">
        <f aca="false">IF(W7="CR",X7," ")</f>
        <v>1200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46566</v>
      </c>
      <c r="B8" s="2" t="s">
        <v>84</v>
      </c>
      <c r="C8" s="3" t="s">
        <v>194</v>
      </c>
      <c r="D8" s="4" t="s">
        <v>86</v>
      </c>
      <c r="E8" s="5" t="s">
        <v>43</v>
      </c>
      <c r="F8" s="6" t="n">
        <v>24920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24920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46539</v>
      </c>
      <c r="T8" s="4" t="s">
        <v>66</v>
      </c>
      <c r="U8" s="3" t="s">
        <v>195</v>
      </c>
      <c r="V8" s="3" t="s">
        <v>68</v>
      </c>
      <c r="W8" s="42" t="s">
        <v>49</v>
      </c>
      <c r="X8" s="6" t="n">
        <v>1000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n">
        <f aca="false">IF(W8="DL",X8," ")</f>
        <v>1000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46543</v>
      </c>
      <c r="T9" s="4" t="s">
        <v>71</v>
      </c>
      <c r="U9" s="3" t="s">
        <v>196</v>
      </c>
      <c r="V9" s="3" t="s">
        <v>73</v>
      </c>
      <c r="W9" s="42" t="s">
        <v>51</v>
      </c>
      <c r="X9" s="6" t="n">
        <v>2400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n">
        <f aca="false">IF(W9="CR",X9," ")</f>
        <v>2400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46557</v>
      </c>
      <c r="T10" s="4" t="s">
        <v>76</v>
      </c>
      <c r="U10" s="3" t="s">
        <v>197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46563</v>
      </c>
      <c r="T11" s="4" t="s">
        <v>100</v>
      </c>
      <c r="U11" s="3" t="s">
        <v>198</v>
      </c>
      <c r="V11" s="3" t="s">
        <v>102</v>
      </c>
      <c r="W11" s="42" t="s">
        <v>53</v>
      </c>
      <c r="X11" s="6" t="n">
        <v>25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n">
        <f aca="false">IF(W11="B",X11," ")</f>
        <v>25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46566</v>
      </c>
      <c r="T12" s="4" t="s">
        <v>81</v>
      </c>
      <c r="U12" s="3" t="s">
        <v>199</v>
      </c>
      <c r="V12" s="3" t="s">
        <v>83</v>
      </c>
      <c r="W12" s="42" t="s">
        <v>52</v>
      </c>
      <c r="X12" s="6" t="n">
        <v>5652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n">
        <f aca="false">IF(W12="W",X12," ")</f>
        <v>5652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46568</v>
      </c>
      <c r="T13" s="4" t="s">
        <v>87</v>
      </c>
      <c r="U13" s="3" t="s">
        <v>200</v>
      </c>
      <c r="V13" s="3" t="s">
        <v>89</v>
      </c>
      <c r="W13" s="42" t="s">
        <v>51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n">
        <f aca="false">IF(W13="CR",X13," ")</f>
        <v>300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Jun!A2</f>
        <v>128465.73</v>
      </c>
      <c r="B1" s="8" t="s">
        <v>0</v>
      </c>
      <c r="C1" s="9" t="n">
        <f aca="false">[1]Admin!$B$25</f>
        <v>46569</v>
      </c>
      <c r="D1" s="10" t="s">
        <v>1</v>
      </c>
      <c r="E1" s="11" t="n">
        <f aca="false">F1-SUM(G1:Q1)</f>
        <v>0</v>
      </c>
      <c r="F1" s="12" t="n">
        <f aca="false">SUM(F6:F200)</f>
        <v>32800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32800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13292.2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4200</v>
      </c>
      <c r="AC1" s="12" t="n">
        <f aca="false">SUM(AC6:AC200)</f>
        <v>5652</v>
      </c>
      <c r="AD1" s="12" t="n">
        <f aca="false">SUM(AD6:AD200)</f>
        <v>167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600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.75" hidden="false" customHeight="true" outlineLevel="0" collapsed="false">
      <c r="A2" s="17" t="n">
        <f aca="false">A1+F1-X1</f>
        <v>147973.53</v>
      </c>
      <c r="B2" s="18" t="s">
        <v>2</v>
      </c>
      <c r="C2" s="9" t="n">
        <f aca="false">[1]Admin!$B$26</f>
        <v>46599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46599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147973.53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46588</v>
      </c>
      <c r="B6" s="2" t="s">
        <v>58</v>
      </c>
      <c r="C6" s="3" t="s">
        <v>201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46569</v>
      </c>
      <c r="T6" s="4" t="s">
        <v>61</v>
      </c>
      <c r="U6" s="3" t="s">
        <v>202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46593</v>
      </c>
      <c r="B7" s="2" t="s">
        <v>74</v>
      </c>
      <c r="C7" s="3" t="s">
        <v>203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46569</v>
      </c>
      <c r="T7" s="4" t="s">
        <v>66</v>
      </c>
      <c r="U7" s="3" t="s">
        <v>204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46596</v>
      </c>
      <c r="B8" s="2" t="s">
        <v>84</v>
      </c>
      <c r="C8" s="3" t="s">
        <v>205</v>
      </c>
      <c r="D8" s="4" t="s">
        <v>86</v>
      </c>
      <c r="E8" s="5" t="s">
        <v>43</v>
      </c>
      <c r="F8" s="6" t="n">
        <v>22400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22400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46573</v>
      </c>
      <c r="T8" s="4" t="s">
        <v>71</v>
      </c>
      <c r="U8" s="3" t="s">
        <v>206</v>
      </c>
      <c r="V8" s="3" t="s">
        <v>73</v>
      </c>
      <c r="W8" s="42" t="s">
        <v>51</v>
      </c>
      <c r="X8" s="6" t="n">
        <v>2700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2700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46587</v>
      </c>
      <c r="T9" s="4" t="s">
        <v>76</v>
      </c>
      <c r="U9" s="3" t="s">
        <v>207</v>
      </c>
      <c r="V9" s="3" t="s">
        <v>78</v>
      </c>
      <c r="W9" s="42" t="s">
        <v>55</v>
      </c>
      <c r="X9" s="6" t="n">
        <v>1673.2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n">
        <f aca="false">IF(W9="RP",X9," ")</f>
        <v>1673.2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46587</v>
      </c>
      <c r="T10" s="4" t="s">
        <v>76</v>
      </c>
      <c r="U10" s="3" t="s">
        <v>208</v>
      </c>
      <c r="V10" s="3" t="s">
        <v>138</v>
      </c>
      <c r="W10" s="42" t="s">
        <v>48</v>
      </c>
      <c r="X10" s="6" t="n">
        <v>600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n">
        <f aca="false">IF(W10="RC",X10," ")</f>
        <v>600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46596</v>
      </c>
      <c r="T11" s="4" t="s">
        <v>81</v>
      </c>
      <c r="U11" s="3" t="s">
        <v>209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46599</v>
      </c>
      <c r="T12" s="4" t="s">
        <v>118</v>
      </c>
      <c r="U12" s="3" t="s">
        <v>210</v>
      </c>
      <c r="V12" s="3" t="s">
        <v>120</v>
      </c>
      <c r="W12" s="42" t="s">
        <v>53</v>
      </c>
      <c r="X12" s="6" t="n">
        <v>167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n">
        <f aca="false">IF(W12="B",X12," ")</f>
        <v>167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46599</v>
      </c>
      <c r="T13" s="4" t="s">
        <v>87</v>
      </c>
      <c r="U13" s="3" t="s">
        <v>211</v>
      </c>
      <c r="V13" s="3" t="s">
        <v>89</v>
      </c>
      <c r="W13" s="42" t="s">
        <v>51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n">
        <f aca="false">IF(W13="CR",X13," ")</f>
        <v>300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Jul!A2</f>
        <v>147973.53</v>
      </c>
      <c r="B1" s="8" t="s">
        <v>0</v>
      </c>
      <c r="C1" s="9" t="n">
        <f aca="false">[1]Admin!$B$27</f>
        <v>46600</v>
      </c>
      <c r="D1" s="10" t="s">
        <v>1</v>
      </c>
      <c r="E1" s="11" t="n">
        <f aca="false">F1-SUM(G1:Q1)</f>
        <v>0</v>
      </c>
      <c r="F1" s="12" t="n">
        <f aca="false">SUM(F6:F200)</f>
        <v>40440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35440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5000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15625.2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4000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3000</v>
      </c>
      <c r="AM1" s="12" t="n">
        <f aca="false">SUM(AM6:AM200)</f>
        <v>1000</v>
      </c>
      <c r="AN1" s="12" t="n">
        <f aca="false">SUM(AN6:AN200)</f>
        <v>300</v>
      </c>
    </row>
    <row r="2" customFormat="false" ht="15" hidden="false" customHeight="true" outlineLevel="0" collapsed="false">
      <c r="A2" s="17" t="n">
        <f aca="false">A1+F1-X1</f>
        <v>172788.33</v>
      </c>
      <c r="B2" s="18" t="s">
        <v>2</v>
      </c>
      <c r="C2" s="9" t="n">
        <f aca="false">[1]Admin!$B$28</f>
        <v>46630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46630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172788.33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46614</v>
      </c>
      <c r="B6" s="2" t="s">
        <v>212</v>
      </c>
      <c r="C6" s="3" t="s">
        <v>213</v>
      </c>
      <c r="D6" s="4" t="s">
        <v>214</v>
      </c>
      <c r="E6" s="38" t="s">
        <v>49</v>
      </c>
      <c r="F6" s="6" t="n">
        <v>5000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f aca="false">IF(E6="DL",F6," ")</f>
        <v>5000</v>
      </c>
      <c r="Q6" s="6" t="str">
        <f aca="false">IF(E6="X",F6," ")</f>
        <v> </v>
      </c>
      <c r="R6" s="39"/>
      <c r="S6" s="1" t="n">
        <v>46600</v>
      </c>
      <c r="T6" s="4" t="s">
        <v>61</v>
      </c>
      <c r="U6" s="3" t="s">
        <v>215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46619</v>
      </c>
      <c r="B7" s="2" t="s">
        <v>58</v>
      </c>
      <c r="C7" s="3" t="s">
        <v>216</v>
      </c>
      <c r="D7" s="4" t="s">
        <v>70</v>
      </c>
      <c r="E7" s="5" t="s">
        <v>43</v>
      </c>
      <c r="F7" s="6" t="n">
        <v>8000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8000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46600</v>
      </c>
      <c r="T7" s="4" t="s">
        <v>66</v>
      </c>
      <c r="U7" s="3" t="s">
        <v>217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46624</v>
      </c>
      <c r="B8" s="2" t="s">
        <v>74</v>
      </c>
      <c r="C8" s="3" t="s">
        <v>218</v>
      </c>
      <c r="D8" s="4" t="s">
        <v>70</v>
      </c>
      <c r="E8" s="5" t="s">
        <v>43</v>
      </c>
      <c r="F8" s="6" t="n">
        <v>2400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2400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46604</v>
      </c>
      <c r="T8" s="4" t="s">
        <v>71</v>
      </c>
      <c r="U8" s="3" t="s">
        <v>219</v>
      </c>
      <c r="V8" s="3" t="s">
        <v>73</v>
      </c>
      <c r="W8" s="42" t="s">
        <v>51</v>
      </c>
      <c r="X8" s="6" t="n">
        <v>2500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2500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A9" s="1" t="n">
        <v>46627</v>
      </c>
      <c r="B9" s="2" t="s">
        <v>84</v>
      </c>
      <c r="C9" s="3" t="s">
        <v>220</v>
      </c>
      <c r="D9" s="4" t="s">
        <v>86</v>
      </c>
      <c r="E9" s="5" t="s">
        <v>43</v>
      </c>
      <c r="F9" s="6" t="n">
        <v>25040</v>
      </c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n">
        <f aca="false">IF(E9="DR",F9," ")</f>
        <v>25040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46614</v>
      </c>
      <c r="T9" s="4" t="s">
        <v>133</v>
      </c>
      <c r="U9" s="3" t="s">
        <v>221</v>
      </c>
      <c r="V9" s="3" t="s">
        <v>135</v>
      </c>
      <c r="W9" s="42" t="s">
        <v>57</v>
      </c>
      <c r="X9" s="6" t="n">
        <v>3000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n">
        <f aca="false">IF(W9="DV",X9," ")</f>
        <v>3000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46618</v>
      </c>
      <c r="T10" s="4" t="s">
        <v>76</v>
      </c>
      <c r="U10" s="3" t="s">
        <v>222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46627</v>
      </c>
      <c r="T11" s="4" t="s">
        <v>81</v>
      </c>
      <c r="U11" s="3" t="s">
        <v>223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46630</v>
      </c>
      <c r="T12" s="4" t="s">
        <v>87</v>
      </c>
      <c r="U12" s="3" t="s">
        <v>224</v>
      </c>
      <c r="V12" s="3" t="s">
        <v>89</v>
      </c>
      <c r="W12" s="42" t="s">
        <v>51</v>
      </c>
      <c r="X12" s="6" t="n">
        <v>300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n">
        <f aca="false">IF(W12="CR",X12," ")</f>
        <v>300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46630</v>
      </c>
      <c r="T13" s="4" t="s">
        <v>90</v>
      </c>
      <c r="U13" s="3" t="s">
        <v>225</v>
      </c>
      <c r="V13" s="3" t="s">
        <v>92</v>
      </c>
      <c r="W13" s="42" t="s">
        <v>50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n">
        <f aca="false">IF(W13="X",X13," ")</f>
        <v>300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Aug!A2</f>
        <v>172788.33</v>
      </c>
      <c r="B1" s="8" t="s">
        <v>0</v>
      </c>
      <c r="C1" s="9" t="n">
        <f aca="false">[1]Admin!$B$29</f>
        <v>46631</v>
      </c>
      <c r="D1" s="10" t="s">
        <v>1</v>
      </c>
      <c r="E1" s="11" t="n">
        <f aca="false">F1-SUM(G1:Q1)</f>
        <v>0</v>
      </c>
      <c r="F1" s="12" t="n">
        <f aca="false">SUM(F6:F200)</f>
        <v>34360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34360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23642.7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4400</v>
      </c>
      <c r="AC1" s="12" t="n">
        <f aca="false">SUM(AC6:AC200)</f>
        <v>5652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10917.5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1000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183505.63</v>
      </c>
      <c r="B2" s="18" t="s">
        <v>2</v>
      </c>
      <c r="C2" s="9" t="n">
        <f aca="false">[1]Admin!$B$30</f>
        <v>46660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46660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183505.63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46650</v>
      </c>
      <c r="B6" s="2" t="s">
        <v>58</v>
      </c>
      <c r="C6" s="3" t="s">
        <v>226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46637</v>
      </c>
      <c r="T6" s="4" t="s">
        <v>76</v>
      </c>
      <c r="U6" s="3" t="s">
        <v>227</v>
      </c>
      <c r="V6" s="3" t="s">
        <v>228</v>
      </c>
      <c r="W6" s="40" t="s">
        <v>47</v>
      </c>
      <c r="X6" s="6" t="n">
        <v>10917.5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n">
        <f aca="false">IF(W6="RV",X6," ")</f>
        <v>10917.5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46655</v>
      </c>
      <c r="B7" s="2" t="s">
        <v>74</v>
      </c>
      <c r="C7" s="3" t="s">
        <v>229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46631</v>
      </c>
      <c r="T7" s="4" t="s">
        <v>61</v>
      </c>
      <c r="U7" s="3" t="s">
        <v>230</v>
      </c>
      <c r="V7" s="3" t="s">
        <v>63</v>
      </c>
      <c r="W7" s="42" t="s">
        <v>51</v>
      </c>
      <c r="X7" s="6" t="n">
        <v>1200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n">
        <f aca="false">IF(W7="CR",X7," ")</f>
        <v>1200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46658</v>
      </c>
      <c r="B8" s="2" t="s">
        <v>84</v>
      </c>
      <c r="C8" s="3" t="s">
        <v>231</v>
      </c>
      <c r="D8" s="4" t="s">
        <v>86</v>
      </c>
      <c r="E8" s="5" t="s">
        <v>43</v>
      </c>
      <c r="F8" s="6" t="n">
        <v>23960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23960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46631</v>
      </c>
      <c r="T8" s="4" t="s">
        <v>66</v>
      </c>
      <c r="U8" s="3" t="s">
        <v>232</v>
      </c>
      <c r="V8" s="3" t="s">
        <v>68</v>
      </c>
      <c r="W8" s="42" t="s">
        <v>49</v>
      </c>
      <c r="X8" s="6" t="n">
        <v>1000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n">
        <f aca="false">IF(W8="DL",X8," ")</f>
        <v>1000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46635</v>
      </c>
      <c r="T9" s="4" t="s">
        <v>71</v>
      </c>
      <c r="U9" s="3" t="s">
        <v>233</v>
      </c>
      <c r="V9" s="3" t="s">
        <v>73</v>
      </c>
      <c r="W9" s="42" t="s">
        <v>51</v>
      </c>
      <c r="X9" s="6" t="n">
        <v>2900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n">
        <f aca="false">IF(W9="CR",X9," ")</f>
        <v>2900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46649</v>
      </c>
      <c r="T10" s="4" t="s">
        <v>76</v>
      </c>
      <c r="U10" s="3" t="s">
        <v>234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46658</v>
      </c>
      <c r="T11" s="4" t="s">
        <v>87</v>
      </c>
      <c r="U11" s="3" t="s">
        <v>235</v>
      </c>
      <c r="V11" s="3" t="s">
        <v>89</v>
      </c>
      <c r="W11" s="42" t="s">
        <v>51</v>
      </c>
      <c r="X11" s="6" t="n">
        <v>300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n">
        <f aca="false">IF(W11="CR",X11," ")</f>
        <v>300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46658</v>
      </c>
      <c r="T12" s="4" t="s">
        <v>81</v>
      </c>
      <c r="U12" s="3" t="s">
        <v>236</v>
      </c>
      <c r="V12" s="3" t="s">
        <v>83</v>
      </c>
      <c r="W12" s="42" t="s">
        <v>52</v>
      </c>
      <c r="X12" s="6" t="n">
        <v>5652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n">
        <f aca="false">IF(W12="W",X12," ")</f>
        <v>5652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W13" s="42"/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W14" s="42"/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of  &amp;N&amp;R&amp;F  &amp;A</oddFooter>
  </headerFooter>
  <colBreaks count="1" manualBreakCount="1">
    <brk id="17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51" t="n">
        <f aca="false">Sep!A2</f>
        <v>183505.63</v>
      </c>
      <c r="B1" s="8" t="s">
        <v>0</v>
      </c>
      <c r="C1" s="9" t="n">
        <f aca="false">[1]Admin!$B$31</f>
        <v>46661</v>
      </c>
      <c r="D1" s="10" t="s">
        <v>1</v>
      </c>
      <c r="E1" s="11" t="n">
        <f aca="false">F1-SUM(G1:Q1)</f>
        <v>0</v>
      </c>
      <c r="F1" s="12" t="n">
        <f aca="false">SUM(F6:F200)</f>
        <v>20960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20960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23250.2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3800</v>
      </c>
      <c r="AC1" s="12" t="n">
        <f aca="false">SUM(AC6:AC200)</f>
        <v>5652</v>
      </c>
      <c r="AD1" s="12" t="n">
        <f aca="false">SUM(AD6:AD200)</f>
        <v>125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1673.2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6000</v>
      </c>
      <c r="AM1" s="12" t="n">
        <f aca="false">SUM(AM6:AM200)</f>
        <v>1000</v>
      </c>
      <c r="AN1" s="12" t="n">
        <f aca="false">SUM(AN6:AN200)</f>
        <v>5000</v>
      </c>
    </row>
    <row r="2" customFormat="false" ht="15" hidden="false" customHeight="true" outlineLevel="0" collapsed="false">
      <c r="A2" s="17" t="n">
        <f aca="false">A1+F1-X1</f>
        <v>181215.43</v>
      </c>
      <c r="B2" s="18" t="s">
        <v>2</v>
      </c>
      <c r="C2" s="9" t="n">
        <f aca="false">[1]Admin!$B$32</f>
        <v>46691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46691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33" customFormat="true" ht="19.5" hidden="false" customHeight="true" outlineLevel="0" collapsed="false">
      <c r="A4" s="29" t="n">
        <f aca="false">A2-A3</f>
        <v>181215.43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33" customFormat="true" ht="15" hidden="false" customHeight="true" outlineLevel="0" collapsed="false">
      <c r="A5" s="34" t="s">
        <v>37</v>
      </c>
      <c r="B5" s="35" t="s">
        <v>38</v>
      </c>
      <c r="C5" s="36" t="s">
        <v>39</v>
      </c>
      <c r="D5" s="19"/>
      <c r="E5" s="20"/>
      <c r="F5" s="26"/>
      <c r="G5" s="37" t="s">
        <v>40</v>
      </c>
      <c r="H5" s="37" t="s">
        <v>41</v>
      </c>
      <c r="I5" s="37" t="s">
        <v>42</v>
      </c>
      <c r="J5" s="37" t="s">
        <v>43</v>
      </c>
      <c r="K5" s="37" t="s">
        <v>44</v>
      </c>
      <c r="L5" s="37" t="s">
        <v>45</v>
      </c>
      <c r="M5" s="37" t="s">
        <v>46</v>
      </c>
      <c r="N5" s="37" t="s">
        <v>47</v>
      </c>
      <c r="O5" s="37" t="s">
        <v>48</v>
      </c>
      <c r="P5" s="37" t="s">
        <v>49</v>
      </c>
      <c r="Q5" s="37" t="s">
        <v>50</v>
      </c>
      <c r="R5" s="13"/>
      <c r="S5" s="31"/>
      <c r="T5" s="32"/>
      <c r="U5" s="22"/>
      <c r="V5" s="23"/>
      <c r="W5" s="20"/>
      <c r="X5" s="26"/>
      <c r="Y5" s="37" t="s">
        <v>40</v>
      </c>
      <c r="Z5" s="37" t="s">
        <v>41</v>
      </c>
      <c r="AA5" s="37" t="s">
        <v>42</v>
      </c>
      <c r="AB5" s="37" t="s">
        <v>51</v>
      </c>
      <c r="AC5" s="37" t="s">
        <v>52</v>
      </c>
      <c r="AD5" s="37" t="s">
        <v>53</v>
      </c>
      <c r="AE5" s="37" t="s">
        <v>54</v>
      </c>
      <c r="AF5" s="37" t="s">
        <v>45</v>
      </c>
      <c r="AG5" s="37" t="s">
        <v>46</v>
      </c>
      <c r="AH5" s="37" t="s">
        <v>55</v>
      </c>
      <c r="AI5" s="37" t="s">
        <v>47</v>
      </c>
      <c r="AJ5" s="37" t="s">
        <v>48</v>
      </c>
      <c r="AK5" s="37" t="s">
        <v>56</v>
      </c>
      <c r="AL5" s="37" t="s">
        <v>57</v>
      </c>
      <c r="AM5" s="37" t="s">
        <v>49</v>
      </c>
      <c r="AN5" s="37" t="s">
        <v>50</v>
      </c>
    </row>
    <row r="6" customFormat="false" ht="12.75" hidden="false" customHeight="false" outlineLevel="0" collapsed="false">
      <c r="A6" s="1" t="n">
        <v>46680</v>
      </c>
      <c r="B6" s="2" t="s">
        <v>58</v>
      </c>
      <c r="C6" s="3" t="s">
        <v>237</v>
      </c>
      <c r="D6" s="4" t="s">
        <v>70</v>
      </c>
      <c r="E6" s="38" t="s">
        <v>43</v>
      </c>
      <c r="F6" s="6" t="n">
        <v>8000</v>
      </c>
      <c r="G6" s="6" t="str">
        <f aca="false">IF(E6="BS",F6," ")</f>
        <v> </v>
      </c>
      <c r="H6" s="6" t="str">
        <f aca="false">IF(E6="BD",F6," ")</f>
        <v> </v>
      </c>
      <c r="I6" s="6" t="str">
        <f aca="false">IF(E6="BC",F6," ")</f>
        <v> </v>
      </c>
      <c r="J6" s="6" t="n">
        <f aca="false">IF(E6="DR",F6," ")</f>
        <v>8000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9"/>
      <c r="S6" s="1" t="n">
        <v>46661</v>
      </c>
      <c r="T6" s="4" t="s">
        <v>61</v>
      </c>
      <c r="U6" s="3" t="s">
        <v>238</v>
      </c>
      <c r="V6" s="3" t="s">
        <v>63</v>
      </c>
      <c r="W6" s="40" t="s">
        <v>51</v>
      </c>
      <c r="X6" s="6" t="n">
        <v>1200</v>
      </c>
      <c r="Y6" s="6" t="str">
        <f aca="false">IF(W6="BS",X6," ")</f>
        <v> </v>
      </c>
      <c r="Z6" s="6" t="str">
        <f aca="false">IF(W6="BD",X6," ")</f>
        <v> </v>
      </c>
      <c r="AA6" s="6" t="str">
        <f aca="false">IF(W6="BC",X6," ")</f>
        <v> </v>
      </c>
      <c r="AB6" s="6" t="n">
        <f aca="false">IF(W6="CR",X6," ")</f>
        <v>1200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.75" hidden="false" customHeight="false" outlineLevel="0" collapsed="false">
      <c r="A7" s="1" t="n">
        <v>46685</v>
      </c>
      <c r="B7" s="2" t="s">
        <v>74</v>
      </c>
      <c r="C7" s="3" t="s">
        <v>239</v>
      </c>
      <c r="D7" s="4" t="s">
        <v>70</v>
      </c>
      <c r="E7" s="5" t="s">
        <v>43</v>
      </c>
      <c r="F7" s="6" t="n">
        <v>2400</v>
      </c>
      <c r="G7" s="6" t="str">
        <f aca="false">IF(E7="BS",F7," ")</f>
        <v> </v>
      </c>
      <c r="H7" s="6" t="str">
        <f aca="false">IF(E7="BD",F7," ")</f>
        <v> </v>
      </c>
      <c r="I7" s="6" t="str">
        <f aca="false">IF(E7="BC",F7," ")</f>
        <v> </v>
      </c>
      <c r="J7" s="6" t="n">
        <f aca="false">IF(E7="DR",F7," ")</f>
        <v>2400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1"/>
      <c r="S7" s="1" t="n">
        <v>46661</v>
      </c>
      <c r="T7" s="4" t="s">
        <v>66</v>
      </c>
      <c r="U7" s="3" t="s">
        <v>240</v>
      </c>
      <c r="V7" s="3" t="s">
        <v>68</v>
      </c>
      <c r="W7" s="42" t="s">
        <v>49</v>
      </c>
      <c r="X7" s="6" t="n">
        <v>1000</v>
      </c>
      <c r="Y7" s="6" t="str">
        <f aca="false">IF(W7="BS",X7,"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n">
        <f aca="false">IF(W7="DL",X7," ")</f>
        <v>1000</v>
      </c>
      <c r="AN7" s="6" t="str">
        <f aca="false">IF(W7="X",X7," ")</f>
        <v> </v>
      </c>
    </row>
    <row r="8" customFormat="false" ht="12.75" hidden="false" customHeight="false" outlineLevel="0" collapsed="false">
      <c r="A8" s="1" t="n">
        <v>46688</v>
      </c>
      <c r="B8" s="2" t="s">
        <v>84</v>
      </c>
      <c r="C8" s="3" t="s">
        <v>241</v>
      </c>
      <c r="D8" s="4" t="s">
        <v>86</v>
      </c>
      <c r="E8" s="5" t="s">
        <v>43</v>
      </c>
      <c r="F8" s="6" t="n">
        <v>10560</v>
      </c>
      <c r="G8" s="6" t="str">
        <f aca="false">IF(E8="BS",F8," ")</f>
        <v> </v>
      </c>
      <c r="H8" s="6" t="str">
        <f aca="false">IF(E8="BD",F8," ")</f>
        <v> </v>
      </c>
      <c r="I8" s="6" t="str">
        <f aca="false">IF(E8="BC",F8," ")</f>
        <v> </v>
      </c>
      <c r="J8" s="6" t="n">
        <f aca="false">IF(E8="DR",F8," ")</f>
        <v>10560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1"/>
      <c r="S8" s="1" t="n">
        <v>46665</v>
      </c>
      <c r="T8" s="4" t="s">
        <v>71</v>
      </c>
      <c r="U8" s="3" t="s">
        <v>242</v>
      </c>
      <c r="V8" s="3" t="s">
        <v>73</v>
      </c>
      <c r="W8" s="42" t="s">
        <v>51</v>
      </c>
      <c r="X8" s="6" t="n">
        <v>2300</v>
      </c>
      <c r="Y8" s="6" t="str">
        <f aca="false">IF(W8="BS",X8," ")</f>
        <v> </v>
      </c>
      <c r="Z8" s="6" t="str">
        <f aca="false">IF(W8="BD",X8," ")</f>
        <v> </v>
      </c>
      <c r="AA8" s="6" t="str">
        <f aca="false">IF(W8="BC",X8," ")</f>
        <v> </v>
      </c>
      <c r="AB8" s="6" t="n">
        <f aca="false">IF(W8="CR",X8," ")</f>
        <v>2300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.75" hidden="false" customHeight="false" outlineLevel="0" collapsed="false">
      <c r="G9" s="6" t="str">
        <f aca="false">IF(E9="BS",F9,"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1"/>
      <c r="S9" s="1" t="n">
        <v>46675</v>
      </c>
      <c r="T9" s="4" t="s">
        <v>243</v>
      </c>
      <c r="U9" s="3" t="s">
        <v>244</v>
      </c>
      <c r="V9" s="3" t="s">
        <v>245</v>
      </c>
      <c r="W9" s="42" t="s">
        <v>50</v>
      </c>
      <c r="X9" s="6" t="n">
        <v>5000</v>
      </c>
      <c r="Y9" s="6" t="str">
        <f aca="false">IF(W9="BS",X9,"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n">
        <f aca="false">IF(W9="X",X9," ")</f>
        <v>5000</v>
      </c>
    </row>
    <row r="10" customFormat="false" ht="12.75" hidden="false" customHeight="false" outlineLevel="0" collapsed="false">
      <c r="G10" s="6" t="str">
        <f aca="false">IF(E10="BS",F10,"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1"/>
      <c r="S10" s="1" t="n">
        <v>46679</v>
      </c>
      <c r="T10" s="4" t="s">
        <v>76</v>
      </c>
      <c r="U10" s="3" t="s">
        <v>246</v>
      </c>
      <c r="V10" s="3" t="s">
        <v>78</v>
      </c>
      <c r="W10" s="42" t="s">
        <v>55</v>
      </c>
      <c r="X10" s="6" t="n">
        <v>1673.2</v>
      </c>
      <c r="Y10" s="6" t="str">
        <f aca="false">IF(W10="BS",X10,"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n">
        <f aca="false">IF(W10="RP",X10," ")</f>
        <v>1673.2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.75" hidden="false" customHeight="false" outlineLevel="0" collapsed="false">
      <c r="G11" s="6" t="str">
        <f aca="false">IF(E11="BS",F11,"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1"/>
      <c r="S11" s="1" t="n">
        <v>46688</v>
      </c>
      <c r="T11" s="4" t="s">
        <v>81</v>
      </c>
      <c r="U11" s="3" t="s">
        <v>247</v>
      </c>
      <c r="V11" s="3" t="s">
        <v>83</v>
      </c>
      <c r="W11" s="42" t="s">
        <v>52</v>
      </c>
      <c r="X11" s="6" t="n">
        <v>5652</v>
      </c>
      <c r="Y11" s="6" t="str">
        <f aca="false">IF(W11="BS",X11,"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n">
        <f aca="false">IF(W11="W",X11," ")</f>
        <v>5652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.75" hidden="false" customHeight="false" outlineLevel="0" collapsed="false">
      <c r="G12" s="6" t="str">
        <f aca="false">IF(E12="BS",F12,"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1"/>
      <c r="S12" s="1" t="n">
        <v>46691</v>
      </c>
      <c r="T12" s="4" t="s">
        <v>118</v>
      </c>
      <c r="U12" s="3" t="s">
        <v>248</v>
      </c>
      <c r="V12" s="3" t="s">
        <v>120</v>
      </c>
      <c r="W12" s="42" t="s">
        <v>53</v>
      </c>
      <c r="X12" s="6" t="n">
        <v>125</v>
      </c>
      <c r="Y12" s="6" t="str">
        <f aca="false">IF(W12="BS",X12,"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n">
        <f aca="false">IF(W12="B",X12," ")</f>
        <v>125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.75" hidden="false" customHeight="false" outlineLevel="0" collapsed="false">
      <c r="G13" s="6" t="str">
        <f aca="false">IF(E13="BS",F13,"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1"/>
      <c r="S13" s="1" t="n">
        <v>46691</v>
      </c>
      <c r="T13" s="4" t="s">
        <v>87</v>
      </c>
      <c r="U13" s="3" t="s">
        <v>249</v>
      </c>
      <c r="V13" s="3" t="s">
        <v>89</v>
      </c>
      <c r="W13" s="42" t="s">
        <v>51</v>
      </c>
      <c r="X13" s="6" t="n">
        <v>300</v>
      </c>
      <c r="Y13" s="6" t="str">
        <f aca="false">IF(W13="BS",X13,"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n">
        <f aca="false">IF(W13="CR",X13," ")</f>
        <v>300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.75" hidden="false" customHeight="false" outlineLevel="0" collapsed="false">
      <c r="G14" s="6" t="str">
        <f aca="false">IF(E14="BS",F14,"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1"/>
      <c r="S14" s="1" t="n">
        <v>46691</v>
      </c>
      <c r="T14" s="4" t="s">
        <v>133</v>
      </c>
      <c r="U14" s="3" t="s">
        <v>250</v>
      </c>
      <c r="V14" s="3" t="s">
        <v>251</v>
      </c>
      <c r="W14" s="42" t="s">
        <v>57</v>
      </c>
      <c r="X14" s="6" t="n">
        <v>6000</v>
      </c>
      <c r="Y14" s="6" t="str">
        <f aca="false">IF(W14="BS",X14,"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n">
        <f aca="false">IF(W14="DV",X14," ")</f>
        <v>6000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.75" hidden="false" customHeight="false" outlineLevel="0" collapsed="false">
      <c r="G15" s="6" t="str">
        <f aca="false">IF(E15="BS",F15,"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1"/>
      <c r="W15" s="42"/>
      <c r="Y15" s="6" t="str">
        <f aca="false">IF(W15="BS",X15,"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.75" hidden="false" customHeight="false" outlineLevel="0" collapsed="false">
      <c r="G16" s="6" t="str">
        <f aca="false">IF(E16="BS",F16,"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1"/>
      <c r="W16" s="42"/>
      <c r="Y16" s="6" t="str">
        <f aca="false">IF(W16="BS",X16,"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.75" hidden="false" customHeight="false" outlineLevel="0" collapsed="false">
      <c r="G17" s="6" t="str">
        <f aca="false">IF(E17="BS",F17,"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1"/>
      <c r="W17" s="42"/>
      <c r="Y17" s="6" t="str">
        <f aca="false">IF(W17="BS",X17,"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.75" hidden="false" customHeight="false" outlineLevel="0" collapsed="false">
      <c r="G18" s="6" t="str">
        <f aca="false">IF(E18="BS",F18,"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1"/>
      <c r="W18" s="42"/>
      <c r="Y18" s="6" t="str">
        <f aca="false">IF(W18="BS",X18,"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.75" hidden="false" customHeight="false" outlineLevel="0" collapsed="false">
      <c r="G19" s="6" t="str">
        <f aca="false">IF(E19="BS",F19,"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1"/>
      <c r="W19" s="42"/>
      <c r="Y19" s="6" t="str">
        <f aca="false">IF(W19="BS",X19,"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.75" hidden="false" customHeight="false" outlineLevel="0" collapsed="false">
      <c r="G20" s="6" t="str">
        <f aca="false">IF(E20="BS",F20,"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1"/>
      <c r="W20" s="42"/>
      <c r="Y20" s="6" t="str">
        <f aca="false">IF(W20="BS",X20,"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.75" hidden="false" customHeight="false" outlineLevel="0" collapsed="false">
      <c r="G21" s="6" t="str">
        <f aca="false">IF(E21="BS",F21,"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1"/>
      <c r="W21" s="42"/>
      <c r="Y21" s="6" t="str">
        <f aca="false">IF(W21="BS",X21,"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.75" hidden="false" customHeight="false" outlineLevel="0" collapsed="false">
      <c r="G22" s="6" t="str">
        <f aca="false">IF(E22="BS",F22,"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1"/>
      <c r="W22" s="42"/>
      <c r="Y22" s="6" t="str">
        <f aca="false">IF(W22="BS",X22,"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.75" hidden="false" customHeight="false" outlineLevel="0" collapsed="false">
      <c r="G23" s="6" t="str">
        <f aca="false">IF(E23="BS",F23,"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1"/>
      <c r="W23" s="42"/>
      <c r="Y23" s="6" t="str">
        <f aca="false">IF(W23="BS",X23,"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.75" hidden="false" customHeight="false" outlineLevel="0" collapsed="false">
      <c r="G24" s="6" t="str">
        <f aca="false">IF(E24="BS",F24,"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1"/>
      <c r="W24" s="42"/>
      <c r="Y24" s="6" t="str">
        <f aca="false">IF(W24="BS",X24,"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.75" hidden="false" customHeight="false" outlineLevel="0" collapsed="false">
      <c r="G25" s="6" t="str">
        <f aca="false">IF(E25="BS",F25,"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1"/>
      <c r="W25" s="42"/>
      <c r="Y25" s="6" t="str">
        <f aca="false">IF(W25="BS",X25,"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.75" hidden="false" customHeight="false" outlineLevel="0" collapsed="false">
      <c r="G26" s="6" t="str">
        <f aca="false">IF(E26="BS",F26,"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1"/>
      <c r="W26" s="42"/>
      <c r="Y26" s="6" t="str">
        <f aca="false">IF(W26="BS",X26,"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.75" hidden="false" customHeight="false" outlineLevel="0" collapsed="false">
      <c r="G27" s="6" t="str">
        <f aca="false">IF(E27="BS",F27,"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1"/>
      <c r="W27" s="42"/>
      <c r="Y27" s="6" t="str">
        <f aca="false">IF(W27="BS",X27,"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.75" hidden="false" customHeight="false" outlineLevel="0" collapsed="false">
      <c r="G28" s="6" t="str">
        <f aca="false">IF(E28="BS",F28,"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1"/>
      <c r="W28" s="42"/>
      <c r="Y28" s="6" t="str">
        <f aca="false">IF(W28="BS",X28,"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.75" hidden="false" customHeight="false" outlineLevel="0" collapsed="false">
      <c r="G29" s="6" t="str">
        <f aca="false">IF(E29="BS",F29,"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1"/>
      <c r="W29" s="42"/>
      <c r="Y29" s="6" t="str">
        <f aca="false">IF(W29="BS",X29,"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.75" hidden="false" customHeight="false" outlineLevel="0" collapsed="false">
      <c r="G30" s="6" t="str">
        <f aca="false">IF(E30="BS",F30,"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1"/>
      <c r="W30" s="42"/>
      <c r="Y30" s="6" t="str">
        <f aca="false">IF(W30="BS",X30,"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.75" hidden="false" customHeight="false" outlineLevel="0" collapsed="false">
      <c r="G31" s="6" t="str">
        <f aca="false">IF(E31="BS",F31,"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1"/>
      <c r="W31" s="42"/>
      <c r="Y31" s="6" t="str">
        <f aca="false">IF(W31="BS",X31,"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.75" hidden="false" customHeight="false" outlineLevel="0" collapsed="false">
      <c r="G32" s="6" t="str">
        <f aca="false">IF(E32="BS",F32,"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1"/>
      <c r="W32" s="42"/>
      <c r="Y32" s="6" t="str">
        <f aca="false">IF(W32="BS",X32,"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.75" hidden="false" customHeight="false" outlineLevel="0" collapsed="false">
      <c r="G33" s="6" t="str">
        <f aca="false">IF(E33="BS",F33,"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1"/>
      <c r="W33" s="42"/>
      <c r="Y33" s="6" t="str">
        <f aca="false">IF(W33="BS",X33,"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.75" hidden="false" customHeight="false" outlineLevel="0" collapsed="false">
      <c r="G34" s="6" t="str">
        <f aca="false">IF(E34="BS",F34,"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1"/>
      <c r="W34" s="42"/>
      <c r="Y34" s="6" t="str">
        <f aca="false">IF(W34="BS",X34,"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.75" hidden="false" customHeight="false" outlineLevel="0" collapsed="false">
      <c r="G35" s="6" t="str">
        <f aca="false">IF(E35="BS",F35,"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1"/>
      <c r="W35" s="42"/>
      <c r="Y35" s="6" t="str">
        <f aca="false">IF(W35="BS",X35,"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.75" hidden="false" customHeight="false" outlineLevel="0" collapsed="false">
      <c r="G36" s="6" t="str">
        <f aca="false">IF(E36="BS",F36,"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1"/>
      <c r="W36" s="42"/>
      <c r="Y36" s="6" t="str">
        <f aca="false">IF(W36="BS",X36,"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.75" hidden="false" customHeight="false" outlineLevel="0" collapsed="false">
      <c r="G37" s="6" t="str">
        <f aca="false">IF(E37="BS",F37,"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1"/>
      <c r="W37" s="42"/>
      <c r="Y37" s="6" t="str">
        <f aca="false">IF(W37="BS",X37,"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.75" hidden="false" customHeight="false" outlineLevel="0" collapsed="false">
      <c r="G38" s="6" t="str">
        <f aca="false">IF(E38="BS",F38,"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1"/>
      <c r="W38" s="42"/>
      <c r="Y38" s="6" t="str">
        <f aca="false">IF(W38="BS",X38,"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.75" hidden="false" customHeight="false" outlineLevel="0" collapsed="false">
      <c r="G39" s="6" t="str">
        <f aca="false">IF(E39="BS",F39,"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1"/>
      <c r="W39" s="42"/>
      <c r="Y39" s="6" t="str">
        <f aca="false">IF(W39="BS",X39,"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.75" hidden="false" customHeight="false" outlineLevel="0" collapsed="false">
      <c r="G40" s="6" t="str">
        <f aca="false">IF(E40="BS",F40,"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1"/>
      <c r="W40" s="42"/>
      <c r="Y40" s="6" t="str">
        <f aca="false">IF(W40="BS",X40,"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.75" hidden="false" customHeight="false" outlineLevel="0" collapsed="false">
      <c r="G41" s="6" t="str">
        <f aca="false">IF(E41="BS",F41,"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1"/>
      <c r="W41" s="42"/>
      <c r="Y41" s="6" t="str">
        <f aca="false">IF(W41="BS",X41,"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.75" hidden="false" customHeight="false" outlineLevel="0" collapsed="false">
      <c r="G42" s="6" t="str">
        <f aca="false">IF(E42="BS",F42,"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1"/>
      <c r="W42" s="42"/>
      <c r="Y42" s="6" t="str">
        <f aca="false">IF(W42="BS",X42,"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.75" hidden="false" customHeight="false" outlineLevel="0" collapsed="false">
      <c r="G43" s="6" t="str">
        <f aca="false">IF(E43="BS",F43,"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1"/>
      <c r="W43" s="42"/>
      <c r="Y43" s="6" t="str">
        <f aca="false">IF(W43="BS",X43,"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.75" hidden="false" customHeight="false" outlineLevel="0" collapsed="false">
      <c r="G44" s="6" t="str">
        <f aca="false">IF(E44="BS",F44,"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1"/>
      <c r="W44" s="42"/>
      <c r="Y44" s="6" t="str">
        <f aca="false">IF(W44="BS",X44,"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.75" hidden="false" customHeight="false" outlineLevel="0" collapsed="false">
      <c r="G45" s="6" t="str">
        <f aca="false">IF(E45="BS",F45,"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1"/>
      <c r="W45" s="42"/>
      <c r="Y45" s="6" t="str">
        <f aca="false">IF(W45="BS",X45,"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.75" hidden="false" customHeight="false" outlineLevel="0" collapsed="false">
      <c r="G46" s="6" t="str">
        <f aca="false">IF(E46="BS",F46,"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1"/>
      <c r="W46" s="42"/>
      <c r="Y46" s="6" t="str">
        <f aca="false">IF(W46="BS",X46,"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.75" hidden="false" customHeight="false" outlineLevel="0" collapsed="false">
      <c r="G47" s="6" t="str">
        <f aca="false">IF(E47="BS",F47,"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1"/>
      <c r="W47" s="42"/>
      <c r="Y47" s="6" t="str">
        <f aca="false">IF(W47="BS",X47,"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.75" hidden="false" customHeight="false" outlineLevel="0" collapsed="false">
      <c r="G48" s="6" t="str">
        <f aca="false">IF(E48="BS",F48,"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1"/>
      <c r="W48" s="42"/>
      <c r="Y48" s="6" t="str">
        <f aca="false">IF(W48="BS",X48,"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.75" hidden="false" customHeight="false" outlineLevel="0" collapsed="false">
      <c r="G49" s="6" t="str">
        <f aca="false">IF(E49="BS",F49,"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1"/>
      <c r="W49" s="42"/>
      <c r="Y49" s="6" t="str">
        <f aca="false">IF(W49="BS",X49,"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.75" hidden="false" customHeight="false" outlineLevel="0" collapsed="false">
      <c r="G50" s="6" t="str">
        <f aca="false">IF(E50="BS",F50,"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1"/>
      <c r="W50" s="42"/>
      <c r="Y50" s="6" t="str">
        <f aca="false">IF(W50="BS",X50,"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.75" hidden="false" customHeight="false" outlineLevel="0" collapsed="false">
      <c r="G51" s="6" t="str">
        <f aca="false">IF(E51="BS",F51,"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1"/>
      <c r="W51" s="42"/>
      <c r="Y51" s="6" t="str">
        <f aca="false">IF(W51="BS",X51,"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.75" hidden="false" customHeight="false" outlineLevel="0" collapsed="false">
      <c r="G52" s="6" t="str">
        <f aca="false">IF(E52="BS",F52,"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1"/>
      <c r="W52" s="42"/>
      <c r="Y52" s="6" t="str">
        <f aca="false">IF(W52="BS",X52,"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.75" hidden="false" customHeight="false" outlineLevel="0" collapsed="false">
      <c r="G53" s="6" t="str">
        <f aca="false">IF(E53="BS",F53,"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1"/>
      <c r="W53" s="42"/>
      <c r="Y53" s="6" t="str">
        <f aca="false">IF(W53="BS",X53,"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.75" hidden="false" customHeight="false" outlineLevel="0" collapsed="false">
      <c r="G54" s="6" t="str">
        <f aca="false">IF(E54="BS",F54,"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1"/>
      <c r="W54" s="42"/>
      <c r="Y54" s="6" t="str">
        <f aca="false">IF(W54="BS",X54,"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.75" hidden="false" customHeight="false" outlineLevel="0" collapsed="false">
      <c r="G55" s="6" t="str">
        <f aca="false">IF(E55="BS",F55,"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1"/>
      <c r="W55" s="42"/>
      <c r="Y55" s="6" t="str">
        <f aca="false">IF(W55="BS",X55,"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.75" hidden="false" customHeight="false" outlineLevel="0" collapsed="false">
      <c r="G56" s="6" t="str">
        <f aca="false">IF(E56="BS",F56,"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1"/>
      <c r="W56" s="42"/>
      <c r="Y56" s="6" t="str">
        <f aca="false">IF(W56="BS",X56,"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.75" hidden="false" customHeight="false" outlineLevel="0" collapsed="false">
      <c r="G57" s="6" t="str">
        <f aca="false">IF(E57="BS",F57,"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1"/>
      <c r="W57" s="42"/>
      <c r="Y57" s="6" t="str">
        <f aca="false">IF(W57="BS",X57,"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.75" hidden="false" customHeight="false" outlineLevel="0" collapsed="false">
      <c r="G58" s="6" t="str">
        <f aca="false">IF(E58="BS",F58,"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1"/>
      <c r="W58" s="42"/>
      <c r="Y58" s="6" t="str">
        <f aca="false">IF(W58="BS",X58,"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.75" hidden="false" customHeight="false" outlineLevel="0" collapsed="false">
      <c r="G59" s="6" t="str">
        <f aca="false">IF(E59="BS",F59,"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1"/>
      <c r="W59" s="42"/>
      <c r="Y59" s="6" t="str">
        <f aca="false">IF(W59="BS",X59,"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.75" hidden="false" customHeight="false" outlineLevel="0" collapsed="false">
      <c r="G60" s="6" t="str">
        <f aca="false">IF(E60="BS",F60,"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1"/>
      <c r="W60" s="42"/>
      <c r="Y60" s="6" t="str">
        <f aca="false">IF(W60="BS",X60,"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.75" hidden="false" customHeight="false" outlineLevel="0" collapsed="false">
      <c r="G61" s="6" t="str">
        <f aca="false">IF(E61="BS",F61,"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1"/>
      <c r="W61" s="42"/>
      <c r="Y61" s="6" t="str">
        <f aca="false">IF(W61="BS",X61,"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.75" hidden="false" customHeight="false" outlineLevel="0" collapsed="false">
      <c r="G62" s="6" t="str">
        <f aca="false">IF(E62="BS",F62,"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1"/>
      <c r="W62" s="42"/>
      <c r="Y62" s="6" t="str">
        <f aca="false">IF(W62="BS",X62,"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.75" hidden="false" customHeight="false" outlineLevel="0" collapsed="false">
      <c r="G63" s="6" t="str">
        <f aca="false">IF(E63="BS",F63,"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1"/>
      <c r="W63" s="42"/>
      <c r="Y63" s="6" t="str">
        <f aca="false">IF(W63="BS",X63,"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.75" hidden="false" customHeight="false" outlineLevel="0" collapsed="false">
      <c r="G64" s="6" t="str">
        <f aca="false">IF(E64="BS",F64,"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1"/>
      <c r="W64" s="42"/>
      <c r="Y64" s="6" t="str">
        <f aca="false">IF(W64="BS",X64,"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.75" hidden="false" customHeight="false" outlineLevel="0" collapsed="false">
      <c r="G65" s="6" t="str">
        <f aca="false">IF(E65="BS",F65,"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1"/>
      <c r="W65" s="42"/>
      <c r="Y65" s="6" t="str">
        <f aca="false">IF(W65="BS",X65,"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.75" hidden="false" customHeight="false" outlineLevel="0" collapsed="false">
      <c r="G66" s="6" t="str">
        <f aca="false">IF(E66="BS",F66,"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1"/>
      <c r="W66" s="42"/>
      <c r="Y66" s="6" t="str">
        <f aca="false">IF(W66="BS",X66,"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.75" hidden="false" customHeight="false" outlineLevel="0" collapsed="false">
      <c r="G67" s="6" t="str">
        <f aca="false">IF(E67="BS",F67,"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1"/>
      <c r="W67" s="42"/>
      <c r="Y67" s="6" t="str">
        <f aca="false">IF(W67="BS",X67,"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.75" hidden="false" customHeight="false" outlineLevel="0" collapsed="false">
      <c r="G68" s="6" t="str">
        <f aca="false">IF(E68="BS",F68,"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1"/>
      <c r="W68" s="42"/>
      <c r="Y68" s="6" t="str">
        <f aca="false">IF(W68="BS",X68,"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.75" hidden="false" customHeight="false" outlineLevel="0" collapsed="false">
      <c r="G69" s="6" t="str">
        <f aca="false">IF(E69="BS",F69,"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1"/>
      <c r="W69" s="42"/>
      <c r="Y69" s="6" t="str">
        <f aca="false">IF(W69="BS",X69,"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IF(E70="BS",F70,"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1"/>
      <c r="W70" s="42" t="str">
        <f aca="false">IF(X70&lt;&gt;0,"Enter Code"," ")</f>
        <v> </v>
      </c>
      <c r="Y70" s="6" t="str">
        <f aca="false">IF(W70="BS",X70,"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IF(E71="BS",F71,"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1"/>
      <c r="W71" s="42" t="str">
        <f aca="false">IF(X71&lt;&gt;0,"Enter Code"," ")</f>
        <v> </v>
      </c>
      <c r="Y71" s="6" t="str">
        <f aca="false">IF(W71="BS",X71,"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IF(E72="BS",F72,"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1"/>
      <c r="W72" s="42" t="str">
        <f aca="false">IF(X72&lt;&gt;0,"Enter Code"," ")</f>
        <v> </v>
      </c>
      <c r="Y72" s="6" t="str">
        <f aca="false">IF(W72="BS",X72,"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IF(E73="BS",F73,"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1"/>
      <c r="W73" s="42" t="str">
        <f aca="false">IF(X73&lt;&gt;0,"Enter Code"," ")</f>
        <v> </v>
      </c>
      <c r="Y73" s="6" t="str">
        <f aca="false">IF(W73="BS",X73,"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IF(E74="BS",F74,"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1"/>
      <c r="W74" s="42" t="str">
        <f aca="false">IF(X74&lt;&gt;0,"Enter Code"," ")</f>
        <v> </v>
      </c>
      <c r="Y74" s="6" t="str">
        <f aca="false">IF(W74="BS",X74,"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IF(E75="BS",F75,"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1"/>
      <c r="W75" s="42" t="str">
        <f aca="false">IF(X75&lt;&gt;0,"Enter Code"," ")</f>
        <v> </v>
      </c>
      <c r="Y75" s="6" t="str">
        <f aca="false">IF(W75="BS",X75,"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IF(E76="BS",F76,"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1"/>
      <c r="W76" s="42" t="str">
        <f aca="false">IF(X76&lt;&gt;0,"Enter Code"," ")</f>
        <v> </v>
      </c>
      <c r="Y76" s="6" t="str">
        <f aca="false">IF(W76="BS",X76,"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IF(E77="BS",F77,"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1"/>
      <c r="W77" s="42" t="str">
        <f aca="false">IF(X77&lt;&gt;0,"Enter Code"," ")</f>
        <v> </v>
      </c>
      <c r="Y77" s="6" t="str">
        <f aca="false">IF(W77="BS",X77,"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IF(E78="BS",F78,"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1"/>
      <c r="W78" s="42" t="str">
        <f aca="false">IF(X78&lt;&gt;0,"Enter Code"," ")</f>
        <v> </v>
      </c>
      <c r="Y78" s="6" t="str">
        <f aca="false">IF(W78="BS",X78,"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IF(E79="BS",F79,"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1"/>
      <c r="W79" s="42" t="str">
        <f aca="false">IF(X79&lt;&gt;0,"Enter Code"," ")</f>
        <v> </v>
      </c>
      <c r="Y79" s="6" t="str">
        <f aca="false">IF(W79="BS",X79,"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IF(E80="BS",F80,"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1"/>
      <c r="W80" s="42" t="str">
        <f aca="false">IF(X80&lt;&gt;0,"Enter Code"," ")</f>
        <v> </v>
      </c>
      <c r="Y80" s="6" t="str">
        <f aca="false">IF(W80="BS",X80,"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IF(E81="BS",F81,"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1"/>
      <c r="W81" s="42" t="str">
        <f aca="false">IF(X81&lt;&gt;0,"Enter Code"," ")</f>
        <v> </v>
      </c>
      <c r="Y81" s="6" t="str">
        <f aca="false">IF(W81="BS",X81,"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IF(E82="BS",F82,"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1"/>
      <c r="W82" s="42" t="str">
        <f aca="false">IF(X82&lt;&gt;0,"Enter Code"," ")</f>
        <v> </v>
      </c>
      <c r="Y82" s="6" t="str">
        <f aca="false">IF(W82="BS",X82,"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IF(E83="BS",F83,"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1"/>
      <c r="W83" s="42" t="str">
        <f aca="false">IF(X83&lt;&gt;0,"Enter Code"," ")</f>
        <v> </v>
      </c>
      <c r="Y83" s="6" t="str">
        <f aca="false">IF(W83="BS",X83,"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IF(E84="BS",F84,"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1"/>
      <c r="W84" s="42" t="str">
        <f aca="false">IF(X84&lt;&gt;0,"Enter Code"," ")</f>
        <v> </v>
      </c>
      <c r="Y84" s="6" t="str">
        <f aca="false">IF(W84="BS",X84,"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IF(E85="BS",F85,"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1"/>
      <c r="W85" s="42" t="str">
        <f aca="false">IF(X85&lt;&gt;0,"Enter Code"," ")</f>
        <v> </v>
      </c>
      <c r="Y85" s="6" t="str">
        <f aca="false">IF(W85="BS",X85,"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IF(E86="BS",F86,"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1"/>
      <c r="W86" s="42" t="str">
        <f aca="false">IF(X86&lt;&gt;0,"Enter Code"," ")</f>
        <v> </v>
      </c>
      <c r="Y86" s="6" t="str">
        <f aca="false">IF(W86="BS",X86,"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IF(E87="BS",F87,"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1"/>
      <c r="W87" s="42" t="str">
        <f aca="false">IF(X87&lt;&gt;0,"Enter Code"," ")</f>
        <v> </v>
      </c>
      <c r="Y87" s="6" t="str">
        <f aca="false">IF(W87="BS",X87,"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IF(E88="BS",F88,"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1"/>
      <c r="W88" s="42" t="str">
        <f aca="false">IF(X88&lt;&gt;0,"Enter Code"," ")</f>
        <v> </v>
      </c>
      <c r="Y88" s="6" t="str">
        <f aca="false">IF(W88="BS",X88,"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IF(E89="BS",F89,"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1"/>
      <c r="W89" s="42" t="str">
        <f aca="false">IF(X89&lt;&gt;0,"Enter Code"," ")</f>
        <v> </v>
      </c>
      <c r="Y89" s="6" t="str">
        <f aca="false">IF(W89="BS",X89,"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IF(E90="BS",F90,"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1"/>
      <c r="W90" s="42" t="str">
        <f aca="false">IF(X90&lt;&gt;0,"Enter Code"," ")</f>
        <v> </v>
      </c>
      <c r="Y90" s="6" t="str">
        <f aca="false">IF(W90="BS",X90,"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IF(E91="BS",F91,"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1"/>
      <c r="W91" s="42" t="str">
        <f aca="false">IF(X91&lt;&gt;0,"Enter Code"," ")</f>
        <v> </v>
      </c>
      <c r="Y91" s="6" t="str">
        <f aca="false">IF(W91="BS",X91,"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IF(E92="BS",F92,"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1"/>
      <c r="W92" s="42" t="str">
        <f aca="false">IF(X92&lt;&gt;0,"Enter Code"," ")</f>
        <v> </v>
      </c>
      <c r="Y92" s="6" t="str">
        <f aca="false">IF(W92="BS",X92,"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IF(E93="BS",F93,"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1"/>
      <c r="W93" s="42" t="str">
        <f aca="false">IF(X93&lt;&gt;0,"Enter Code"," ")</f>
        <v> </v>
      </c>
      <c r="Y93" s="6" t="str">
        <f aca="false">IF(W93="BS",X93,"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IF(E94="BS",F94,"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1"/>
      <c r="W94" s="42" t="str">
        <f aca="false">IF(X94&lt;&gt;0,"Enter Code"," ")</f>
        <v> </v>
      </c>
      <c r="Y94" s="6" t="str">
        <f aca="false">IF(W94="BS",X94,"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IF(E95="BS",F95,"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1"/>
      <c r="W95" s="42" t="str">
        <f aca="false">IF(X95&lt;&gt;0,"Enter Code"," ")</f>
        <v> </v>
      </c>
      <c r="Y95" s="6" t="str">
        <f aca="false">IF(W95="BS",X95,"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IF(E96="BS",F96,"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1"/>
      <c r="W96" s="42" t="str">
        <f aca="false">IF(X96&lt;&gt;0,"Enter Code"," ")</f>
        <v> </v>
      </c>
      <c r="Y96" s="6" t="str">
        <f aca="false">IF(W96="BS",X96,"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IF(E97="BS",F97,"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1"/>
      <c r="W97" s="42" t="str">
        <f aca="false">IF(X97&lt;&gt;0,"Enter Code"," ")</f>
        <v> </v>
      </c>
      <c r="Y97" s="6" t="str">
        <f aca="false">IF(W97="BS",X97,"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IF(E98="BS",F98,"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1"/>
      <c r="W98" s="42" t="str">
        <f aca="false">IF(X98&lt;&gt;0,"Enter Code"," ")</f>
        <v> </v>
      </c>
      <c r="Y98" s="6" t="str">
        <f aca="false">IF(W98="BS",X98,"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IF(E99="BS",F99,"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1"/>
      <c r="W99" s="42" t="str">
        <f aca="false">IF(X99&lt;&gt;0,"Enter Code"," ")</f>
        <v> </v>
      </c>
      <c r="Y99" s="6" t="str">
        <f aca="false">IF(W99="BS",X99,"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IF(E100="BS",F100,"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1"/>
      <c r="W100" s="42" t="str">
        <f aca="false">IF(X100&lt;&gt;0,"Enter Code"," ")</f>
        <v> </v>
      </c>
      <c r="Y100" s="6" t="str">
        <f aca="false">IF(W100="BS",X100,"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IF(E101="BS",F101,"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1"/>
      <c r="W101" s="42" t="str">
        <f aca="false">IF(X101&lt;&gt;0,"Enter Code"," ")</f>
        <v> </v>
      </c>
      <c r="Y101" s="6" t="str">
        <f aca="false">IF(W101="BS",X101,"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IF(E102="BS",F102,"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1"/>
      <c r="W102" s="42" t="str">
        <f aca="false">IF(X102&lt;&gt;0,"Enter Code"," ")</f>
        <v> </v>
      </c>
      <c r="Y102" s="6" t="str">
        <f aca="false">IF(W102="BS",X102,"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IF(E103="BS",F103,"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1"/>
      <c r="W103" s="42" t="str">
        <f aca="false">IF(X103&lt;&gt;0,"Enter Code"," ")</f>
        <v> </v>
      </c>
      <c r="Y103" s="6" t="str">
        <f aca="false">IF(W103="BS",X103,"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IF(E104="BS",F104,"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1"/>
      <c r="W104" s="42" t="str">
        <f aca="false">IF(X104&lt;&gt;0,"Enter Code"," ")</f>
        <v> </v>
      </c>
      <c r="Y104" s="6" t="str">
        <f aca="false">IF(W104="BS",X104,"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IF(E105="BS",F105,"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1"/>
      <c r="W105" s="42" t="str">
        <f aca="false">IF(X105&lt;&gt;0,"Enter Code"," ")</f>
        <v> </v>
      </c>
      <c r="Y105" s="6" t="str">
        <f aca="false">IF(W105="BS",X105,"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IF(E106="BS",F106,"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1"/>
      <c r="W106" s="42" t="str">
        <f aca="false">IF(X106&lt;&gt;0,"Enter Code"," ")</f>
        <v> </v>
      </c>
      <c r="Y106" s="6" t="str">
        <f aca="false">IF(W106="BS",X106,"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IF(E107="BS",F107,"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1"/>
      <c r="W107" s="42" t="str">
        <f aca="false">IF(X107&lt;&gt;0,"Enter Code"," ")</f>
        <v> </v>
      </c>
      <c r="Y107" s="6" t="str">
        <f aca="false">IF(W107="BS",X107,"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IF(E108="BS",F108,"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1"/>
      <c r="W108" s="42" t="str">
        <f aca="false">IF(X108&lt;&gt;0,"Enter Code"," ")</f>
        <v> </v>
      </c>
      <c r="Y108" s="6" t="str">
        <f aca="false">IF(W108="BS",X108,"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IF(E109="BS",F109,"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1"/>
      <c r="W109" s="42" t="str">
        <f aca="false">IF(X109&lt;&gt;0,"Enter Code"," ")</f>
        <v> </v>
      </c>
      <c r="Y109" s="6" t="str">
        <f aca="false">IF(W109="BS",X109,"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IF(E110="BS",F110,"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1"/>
      <c r="W110" s="42" t="str">
        <f aca="false">IF(X110&lt;&gt;0,"Enter Code"," ")</f>
        <v> </v>
      </c>
      <c r="Y110" s="6" t="str">
        <f aca="false">IF(W110="BS",X110,"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IF(E111="BS",F111,"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1"/>
      <c r="W111" s="42" t="str">
        <f aca="false">IF(X111&lt;&gt;0,"Enter Code"," ")</f>
        <v> </v>
      </c>
      <c r="Y111" s="6" t="str">
        <f aca="false">IF(W111="BS",X111,"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IF(E112="BS",F112,"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1"/>
      <c r="W112" s="42" t="str">
        <f aca="false">IF(X112&lt;&gt;0,"Enter Code"," ")</f>
        <v> </v>
      </c>
      <c r="Y112" s="6" t="str">
        <f aca="false">IF(W112="BS",X112,"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IF(E113="BS",F113,"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1"/>
      <c r="W113" s="42" t="str">
        <f aca="false">IF(X113&lt;&gt;0,"Enter Code"," ")</f>
        <v> </v>
      </c>
      <c r="Y113" s="6" t="str">
        <f aca="false">IF(W113="BS",X113,"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IF(E114="BS",F114,"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1"/>
      <c r="W114" s="42" t="str">
        <f aca="false">IF(X114&lt;&gt;0,"Enter Code"," ")</f>
        <v> </v>
      </c>
      <c r="Y114" s="6" t="str">
        <f aca="false">IF(W114="BS",X114,"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IF(E115="BS",F115,"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1"/>
      <c r="W115" s="42" t="str">
        <f aca="false">IF(X115&lt;&gt;0,"Enter Code"," ")</f>
        <v> </v>
      </c>
      <c r="Y115" s="6" t="str">
        <f aca="false">IF(W115="BS",X115,"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IF(E116="BS",F116,"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1"/>
      <c r="W116" s="42" t="str">
        <f aca="false">IF(X116&lt;&gt;0,"Enter Code"," ")</f>
        <v> </v>
      </c>
      <c r="Y116" s="6" t="str">
        <f aca="false">IF(W116="BS",X116,"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IF(E117="BS",F117,"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1"/>
      <c r="W117" s="42" t="str">
        <f aca="false">IF(X117&lt;&gt;0,"Enter Code"," ")</f>
        <v> </v>
      </c>
      <c r="Y117" s="6" t="str">
        <f aca="false">IF(W117="BS",X117,"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IF(E118="BS",F118,"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1"/>
      <c r="W118" s="42" t="str">
        <f aca="false">IF(X118&lt;&gt;0,"Enter Code"," ")</f>
        <v> </v>
      </c>
      <c r="Y118" s="6" t="str">
        <f aca="false">IF(W118="BS",X118,"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IF(E119="BS",F119,"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1"/>
      <c r="W119" s="42" t="str">
        <f aca="false">IF(X119&lt;&gt;0,"Enter Code"," ")</f>
        <v> </v>
      </c>
      <c r="Y119" s="6" t="str">
        <f aca="false">IF(W119="BS",X119,"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IF(E120="BS",F120,"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1"/>
      <c r="W120" s="42" t="str">
        <f aca="false">IF(X120&lt;&gt;0,"Enter Code"," ")</f>
        <v> </v>
      </c>
      <c r="Y120" s="6" t="str">
        <f aca="false">IF(W120="BS",X120,"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IF(E121="BS",F121,"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1"/>
      <c r="W121" s="42" t="str">
        <f aca="false">IF(X121&lt;&gt;0,"Enter Code"," ")</f>
        <v> </v>
      </c>
      <c r="Y121" s="6" t="str">
        <f aca="false">IF(W121="BS",X121,"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IF(E122="BS",F122,"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1"/>
      <c r="W122" s="42" t="str">
        <f aca="false">IF(X122&lt;&gt;0,"Enter Code"," ")</f>
        <v> </v>
      </c>
      <c r="Y122" s="6" t="str">
        <f aca="false">IF(W122="BS",X122,"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IF(E123="BS",F123,"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1"/>
      <c r="W123" s="42" t="str">
        <f aca="false">IF(X123&lt;&gt;0,"Enter Code"," ")</f>
        <v> </v>
      </c>
      <c r="Y123" s="6" t="str">
        <f aca="false">IF(W123="BS",X123,"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IF(E124="BS",F124,"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1"/>
      <c r="W124" s="42" t="str">
        <f aca="false">IF(X124&lt;&gt;0,"Enter Code"," ")</f>
        <v> </v>
      </c>
      <c r="Y124" s="6" t="str">
        <f aca="false">IF(W124="BS",X124,"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IF(E125="BS",F125,"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1"/>
      <c r="W125" s="42" t="str">
        <f aca="false">IF(X125&lt;&gt;0,"Enter Code"," ")</f>
        <v> </v>
      </c>
      <c r="Y125" s="6" t="str">
        <f aca="false">IF(W125="BS",X125,"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IF(E126="BS",F126,"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1"/>
      <c r="W126" s="42" t="str">
        <f aca="false">IF(X126&lt;&gt;0,"Enter Code"," ")</f>
        <v> </v>
      </c>
      <c r="Y126" s="6" t="str">
        <f aca="false">IF(W126="BS",X126,"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IF(E127="BS",F127,"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1"/>
      <c r="W127" s="42" t="str">
        <f aca="false">IF(X127&lt;&gt;0,"Enter Code"," ")</f>
        <v> </v>
      </c>
      <c r="Y127" s="6" t="str">
        <f aca="false">IF(W127="BS",X127,"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IF(E128="BS",F128,"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1"/>
      <c r="W128" s="42" t="str">
        <f aca="false">IF(X128&lt;&gt;0,"Enter Code"," ")</f>
        <v> </v>
      </c>
      <c r="Y128" s="6" t="str">
        <f aca="false">IF(W128="BS",X128,"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IF(E129="BS",F129,"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1"/>
      <c r="W129" s="42" t="str">
        <f aca="false">IF(X129&lt;&gt;0,"Enter Code"," ")</f>
        <v> </v>
      </c>
      <c r="Y129" s="6" t="str">
        <f aca="false">IF(W129="BS",X129,"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IF(E130="BS",F130,"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1"/>
      <c r="W130" s="42" t="str">
        <f aca="false">IF(X130&lt;&gt;0,"Enter Code"," ")</f>
        <v> </v>
      </c>
      <c r="Y130" s="6" t="str">
        <f aca="false">IF(W130="BS",X130,"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IF(E131="BS",F131,"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1"/>
      <c r="W131" s="42" t="str">
        <f aca="false">IF(X131&lt;&gt;0,"Enter Code"," ")</f>
        <v> </v>
      </c>
      <c r="Y131" s="6" t="str">
        <f aca="false">IF(W131="BS",X131,"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IF(E132="BS",F132,"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1"/>
      <c r="W132" s="42" t="str">
        <f aca="false">IF(X132&lt;&gt;0,"Enter Code"," ")</f>
        <v> </v>
      </c>
      <c r="Y132" s="6" t="str">
        <f aca="false">IF(W132="BS",X132,"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IF(E133="BS",F133,"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1"/>
      <c r="W133" s="42" t="str">
        <f aca="false">IF(X133&lt;&gt;0,"Enter Code"," ")</f>
        <v> </v>
      </c>
      <c r="Y133" s="6" t="str">
        <f aca="false">IF(W133="BS",X133,"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IF(E134="BS",F134,"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1"/>
      <c r="W134" s="42" t="str">
        <f aca="false">IF(X134&lt;&gt;0,"Enter Code"," ")</f>
        <v> </v>
      </c>
      <c r="Y134" s="6" t="str">
        <f aca="false">IF(W134="BS",X134,"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IF(E135="BS",F135,"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1"/>
      <c r="W135" s="42" t="str">
        <f aca="false">IF(X135&lt;&gt;0,"Enter Code"," ")</f>
        <v> </v>
      </c>
      <c r="Y135" s="6" t="str">
        <f aca="false">IF(W135="BS",X135,"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IF(E136="BS",F136,"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1"/>
      <c r="W136" s="42" t="str">
        <f aca="false">IF(X136&lt;&gt;0,"Enter Code"," ")</f>
        <v> </v>
      </c>
      <c r="Y136" s="6" t="str">
        <f aca="false">IF(W136="BS",X136,"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IF(E137="BS",F137,"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1"/>
      <c r="W137" s="42" t="str">
        <f aca="false">IF(X137&lt;&gt;0,"Enter Code"," ")</f>
        <v> </v>
      </c>
      <c r="Y137" s="6" t="str">
        <f aca="false">IF(W137="BS",X137,"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IF(E138="BS",F138,"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1"/>
      <c r="W138" s="42" t="str">
        <f aca="false">IF(X138&lt;&gt;0,"Enter Code"," ")</f>
        <v> </v>
      </c>
      <c r="Y138" s="6" t="str">
        <f aca="false">IF(W138="BS",X138,"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IF(E139="BS",F139,"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1"/>
      <c r="W139" s="42" t="str">
        <f aca="false">IF(X139&lt;&gt;0,"Enter Code"," ")</f>
        <v> </v>
      </c>
      <c r="Y139" s="6" t="str">
        <f aca="false">IF(W139="BS",X139,"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IF(E140="BS",F140,"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1"/>
      <c r="W140" s="42" t="str">
        <f aca="false">IF(X140&lt;&gt;0,"Enter Code"," ")</f>
        <v> </v>
      </c>
      <c r="Y140" s="6" t="str">
        <f aca="false">IF(W140="BS",X140,"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IF(E141="BS",F141,"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1"/>
      <c r="W141" s="42" t="str">
        <f aca="false">IF(X141&lt;&gt;0,"Enter Code"," ")</f>
        <v> </v>
      </c>
      <c r="Y141" s="6" t="str">
        <f aca="false">IF(W141="BS",X141,"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IF(E142="BS",F142,"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1"/>
      <c r="W142" s="42" t="str">
        <f aca="false">IF(X142&lt;&gt;0,"Enter Code"," ")</f>
        <v> </v>
      </c>
      <c r="Y142" s="6" t="str">
        <f aca="false">IF(W142="BS",X142,"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IF(E143="BS",F143,"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1"/>
      <c r="W143" s="42" t="str">
        <f aca="false">IF(X143&lt;&gt;0,"Enter Code"," ")</f>
        <v> </v>
      </c>
      <c r="Y143" s="6" t="str">
        <f aca="false">IF(W143="BS",X143,"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IF(E144="BS",F144,"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1"/>
      <c r="W144" s="42" t="str">
        <f aca="false">IF(X144&lt;&gt;0,"Enter Code"," ")</f>
        <v> </v>
      </c>
      <c r="Y144" s="6" t="str">
        <f aca="false">IF(W144="BS",X144,"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IF(E145="BS",F145,"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1"/>
      <c r="W145" s="42" t="str">
        <f aca="false">IF(X145&lt;&gt;0,"Enter Code"," ")</f>
        <v> </v>
      </c>
      <c r="Y145" s="6" t="str">
        <f aca="false">IF(W145="BS",X145,"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IF(E146="BS",F146,"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1"/>
      <c r="W146" s="42" t="str">
        <f aca="false">IF(X146&lt;&gt;0,"Enter Code"," ")</f>
        <v> </v>
      </c>
      <c r="Y146" s="6" t="str">
        <f aca="false">IF(W146="BS",X146,"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IF(E147="BS",F147,"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1"/>
      <c r="W147" s="42" t="str">
        <f aca="false">IF(X147&lt;&gt;0,"Enter Code"," ")</f>
        <v> </v>
      </c>
      <c r="Y147" s="6" t="str">
        <f aca="false">IF(W147="BS",X147,"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IF(E148="BS",F148,"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1"/>
      <c r="W148" s="42" t="str">
        <f aca="false">IF(X148&lt;&gt;0,"Enter Code"," ")</f>
        <v> </v>
      </c>
      <c r="Y148" s="6" t="str">
        <f aca="false">IF(W148="BS",X148,"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IF(E149="BS",F149,"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1"/>
      <c r="W149" s="42" t="str">
        <f aca="false">IF(X149&lt;&gt;0,"Enter Code"," ")</f>
        <v> </v>
      </c>
      <c r="Y149" s="6" t="str">
        <f aca="false">IF(W149="BS",X149,"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IF(E150="BS",F150,"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1"/>
      <c r="W150" s="42" t="str">
        <f aca="false">IF(X150&lt;&gt;0,"Enter Code"," ")</f>
        <v> </v>
      </c>
      <c r="Y150" s="6" t="str">
        <f aca="false">IF(W150="BS",X150,"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IF(E151="BS",F151,"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1"/>
      <c r="W151" s="42" t="str">
        <f aca="false">IF(X151&lt;&gt;0,"Enter Code"," ")</f>
        <v> </v>
      </c>
      <c r="Y151" s="6" t="str">
        <f aca="false">IF(W151="BS",X151,"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IF(E152="BS",F152,"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1"/>
      <c r="W152" s="42" t="str">
        <f aca="false">IF(X152&lt;&gt;0,"Enter Code"," ")</f>
        <v> </v>
      </c>
      <c r="Y152" s="6" t="str">
        <f aca="false">IF(W152="BS",X152,"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IF(E153="BS",F153,"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1"/>
      <c r="W153" s="42" t="str">
        <f aca="false">IF(X153&lt;&gt;0,"Enter Code"," ")</f>
        <v> </v>
      </c>
      <c r="Y153" s="6" t="str">
        <f aca="false">IF(W153="BS",X153,"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IF(E154="BS",F154,"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1"/>
      <c r="W154" s="42" t="str">
        <f aca="false">IF(X154&lt;&gt;0,"Enter Code"," ")</f>
        <v> </v>
      </c>
      <c r="Y154" s="6" t="str">
        <f aca="false">IF(W154="BS",X154,"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IF(E155="BS",F155,"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1"/>
      <c r="W155" s="42" t="str">
        <f aca="false">IF(X155&lt;&gt;0,"Enter Code"," ")</f>
        <v> </v>
      </c>
      <c r="Y155" s="6" t="str">
        <f aca="false">IF(W155="BS",X155,"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IF(E156="BS",F156,"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1"/>
      <c r="W156" s="42" t="str">
        <f aca="false">IF(X156&lt;&gt;0,"Enter Code"," ")</f>
        <v> </v>
      </c>
      <c r="Y156" s="6" t="str">
        <f aca="false">IF(W156="BS",X156,"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IF(E157="BS",F157,"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1"/>
      <c r="W157" s="42" t="str">
        <f aca="false">IF(X157&lt;&gt;0,"Enter Code"," ")</f>
        <v> </v>
      </c>
      <c r="Y157" s="6" t="str">
        <f aca="false">IF(W157="BS",X157,"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IF(E158="BS",F158,"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1"/>
      <c r="W158" s="42" t="str">
        <f aca="false">IF(X158&lt;&gt;0,"Enter Code"," ")</f>
        <v> </v>
      </c>
      <c r="Y158" s="6" t="str">
        <f aca="false">IF(W158="BS",X158,"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IF(E159="BS",F159,"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1"/>
      <c r="W159" s="42" t="str">
        <f aca="false">IF(X159&lt;&gt;0,"Enter Code"," ")</f>
        <v> </v>
      </c>
      <c r="Y159" s="6" t="str">
        <f aca="false">IF(W159="BS",X159,"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IF(E160="BS",F160,"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1"/>
      <c r="W160" s="42" t="str">
        <f aca="false">IF(X160&lt;&gt;0,"Enter Code"," ")</f>
        <v> </v>
      </c>
      <c r="Y160" s="6" t="str">
        <f aca="false">IF(W160="BS",X160,"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IF(E161="BS",F161,"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1"/>
      <c r="W161" s="42" t="str">
        <f aca="false">IF(X161&lt;&gt;0,"Enter Code"," ")</f>
        <v> </v>
      </c>
      <c r="Y161" s="6" t="str">
        <f aca="false">IF(W161="BS",X161,"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IF(E162="BS",F162,"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1"/>
      <c r="W162" s="42" t="str">
        <f aca="false">IF(X162&lt;&gt;0,"Enter Code"," ")</f>
        <v> </v>
      </c>
      <c r="Y162" s="6" t="str">
        <f aca="false">IF(W162="BS",X162,"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IF(E163="BS",F163,"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1"/>
      <c r="W163" s="42" t="str">
        <f aca="false">IF(X163&lt;&gt;0,"Enter Code"," ")</f>
        <v> </v>
      </c>
      <c r="Y163" s="6" t="str">
        <f aca="false">IF(W163="BS",X163,"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IF(E164="BS",F164,"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1"/>
      <c r="W164" s="42" t="str">
        <f aca="false">IF(X164&lt;&gt;0,"Enter Code"," ")</f>
        <v> </v>
      </c>
      <c r="Y164" s="6" t="str">
        <f aca="false">IF(W164="BS",X164,"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IF(E165="BS",F165,"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1"/>
      <c r="W165" s="42" t="str">
        <f aca="false">IF(X165&lt;&gt;0,"Enter Code"," ")</f>
        <v> </v>
      </c>
      <c r="Y165" s="6" t="str">
        <f aca="false">IF(W165="BS",X165,"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IF(E166="BS",F166,"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1"/>
      <c r="W166" s="42" t="str">
        <f aca="false">IF(X166&lt;&gt;0,"Enter Code"," ")</f>
        <v> </v>
      </c>
      <c r="Y166" s="6" t="str">
        <f aca="false">IF(W166="BS",X166,"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IF(E167="BS",F167,"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1"/>
      <c r="W167" s="42" t="str">
        <f aca="false">IF(X167&lt;&gt;0,"Enter Code"," ")</f>
        <v> </v>
      </c>
      <c r="Y167" s="6" t="str">
        <f aca="false">IF(W167="BS",X167,"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IF(E168="BS",F168,"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1"/>
      <c r="W168" s="42" t="str">
        <f aca="false">IF(X168&lt;&gt;0,"Enter Code"," ")</f>
        <v> </v>
      </c>
      <c r="Y168" s="6" t="str">
        <f aca="false">IF(W168="BS",X168,"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IF(E169="BS",F169,"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1"/>
      <c r="W169" s="42" t="str">
        <f aca="false">IF(X169&lt;&gt;0,"Enter Code"," ")</f>
        <v> </v>
      </c>
      <c r="Y169" s="6" t="str">
        <f aca="false">IF(W169="BS",X169,"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IF(E170="BS",F170,"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1"/>
      <c r="W170" s="42" t="str">
        <f aca="false">IF(X170&lt;&gt;0,"Enter Code"," ")</f>
        <v> </v>
      </c>
      <c r="Y170" s="6" t="str">
        <f aca="false">IF(W170="BS",X170,"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IF(E171="BS",F171,"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1"/>
      <c r="W171" s="42" t="str">
        <f aca="false">IF(X171&lt;&gt;0,"Enter Code"," ")</f>
        <v> </v>
      </c>
      <c r="Y171" s="6" t="str">
        <f aca="false">IF(W171="BS",X171,"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IF(E172="BS",F172,"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1"/>
      <c r="W172" s="42" t="str">
        <f aca="false">IF(X172&lt;&gt;0,"Enter Code"," ")</f>
        <v> </v>
      </c>
      <c r="Y172" s="6" t="str">
        <f aca="false">IF(W172="BS",X172,"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IF(E173="BS",F173,"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1"/>
      <c r="W173" s="42" t="str">
        <f aca="false">IF(X173&lt;&gt;0,"Enter Code"," ")</f>
        <v> </v>
      </c>
      <c r="Y173" s="6" t="str">
        <f aca="false">IF(W173="BS",X173,"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IF(E174="BS",F174,"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9"/>
      <c r="W174" s="42" t="str">
        <f aca="false">IF(X174&lt;&gt;0,"Enter Code"," ")</f>
        <v> </v>
      </c>
      <c r="Y174" s="6" t="str">
        <f aca="false">IF(W174="BS",X174,"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IF(E175="BS",F175,"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3"/>
      <c r="W175" s="42" t="str">
        <f aca="false">IF(X175&lt;&gt;0,"Enter Code"," ")</f>
        <v> </v>
      </c>
      <c r="Y175" s="6" t="str">
        <f aca="false">IF(W175="BS",X175,"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IF(E176="BS",F176,"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1"/>
      <c r="W176" s="42" t="str">
        <f aca="false">IF(X176&lt;&gt;0,"Enter Code"," ")</f>
        <v> </v>
      </c>
      <c r="Y176" s="6" t="str">
        <f aca="false">IF(W176="BS",X176,"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IF(E177="BS",F177,"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1"/>
      <c r="W177" s="42" t="str">
        <f aca="false">IF(X177&lt;&gt;0,"Enter Code"," ")</f>
        <v> </v>
      </c>
      <c r="Y177" s="6" t="str">
        <f aca="false">IF(W177="BS",X177,"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IF(E178="BS",F178,"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1"/>
      <c r="W178" s="42" t="str">
        <f aca="false">IF(X178&lt;&gt;0,"Enter Code"," ")</f>
        <v> </v>
      </c>
      <c r="Y178" s="6" t="str">
        <f aca="false">IF(W178="BS",X178,"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IF(E179="BS",F179,"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1"/>
      <c r="W179" s="42" t="str">
        <f aca="false">IF(X179&lt;&gt;0,"Enter Code"," ")</f>
        <v> </v>
      </c>
      <c r="Y179" s="6" t="str">
        <f aca="false">IF(W179="BS",X179,"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IF(E180="BS",F180,"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1"/>
      <c r="W180" s="42" t="str">
        <f aca="false">IF(X180&lt;&gt;0,"Enter Code"," ")</f>
        <v> </v>
      </c>
      <c r="Y180" s="6" t="str">
        <f aca="false">IF(W180="BS",X180,"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IF(E181="BS",F181,"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1"/>
      <c r="W181" s="42" t="str">
        <f aca="false">IF(X181&lt;&gt;0,"Enter Code"," ")</f>
        <v> </v>
      </c>
      <c r="Y181" s="6" t="str">
        <f aca="false">IF(W181="BS",X181,"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IF(E182="BS",F182,"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1"/>
      <c r="W182" s="42" t="str">
        <f aca="false">IF(X182&lt;&gt;0,"Enter Code"," ")</f>
        <v> </v>
      </c>
      <c r="Y182" s="6" t="str">
        <f aca="false">IF(W182="BS",X182,"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IF(E183="BS",F183,"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1"/>
      <c r="W183" s="42" t="str">
        <f aca="false">IF(X183&lt;&gt;0,"Enter Code"," ")</f>
        <v> </v>
      </c>
      <c r="Y183" s="6" t="str">
        <f aca="false">IF(W183="BS",X183,"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IF(E184="BS",F184,"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1"/>
      <c r="W184" s="42" t="str">
        <f aca="false">IF(X184&lt;&gt;0,"Enter Code"," ")</f>
        <v> </v>
      </c>
      <c r="Y184" s="6" t="str">
        <f aca="false">IF(W184="BS",X184,"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IF(E185="BS",F185,"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1"/>
      <c r="W185" s="42" t="str">
        <f aca="false">IF(X185&lt;&gt;0,"Enter Code"," ")</f>
        <v> </v>
      </c>
      <c r="Y185" s="6" t="str">
        <f aca="false">IF(W185="BS",X185,"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IF(E186="BS",F186,"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1"/>
      <c r="W186" s="42" t="str">
        <f aca="false">IF(X186&lt;&gt;0,"Enter Code"," ")</f>
        <v> </v>
      </c>
      <c r="Y186" s="6" t="str">
        <f aca="false">IF(W186="BS",X186,"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IF(E187="BS",F187,"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1"/>
      <c r="W187" s="42" t="str">
        <f aca="false">IF(X187&lt;&gt;0,"Enter Code"," ")</f>
        <v> </v>
      </c>
      <c r="Y187" s="6" t="str">
        <f aca="false">IF(W187="BS",X187,"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IF(E188="BS",F188,"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1"/>
      <c r="W188" s="42" t="str">
        <f aca="false">IF(X188&lt;&gt;0,"Enter Code"," ")</f>
        <v> </v>
      </c>
      <c r="Y188" s="6" t="str">
        <f aca="false">IF(W188="BS",X188,"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IF(E189="BS",F189,"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1"/>
      <c r="W189" s="42" t="str">
        <f aca="false">IF(X189&lt;&gt;0,"Enter Code"," ")</f>
        <v> </v>
      </c>
      <c r="Y189" s="6" t="str">
        <f aca="false">IF(W189="BS",X189,"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IF(E190="BS",F190,"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1"/>
      <c r="W190" s="42" t="str">
        <f aca="false">IF(X190&lt;&gt;0,"Enter Code"," ")</f>
        <v> </v>
      </c>
      <c r="Y190" s="6" t="str">
        <f aca="false">IF(W190="BS",X190,"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IF(E191="BS",F191,"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1"/>
      <c r="W191" s="42" t="str">
        <f aca="false">IF(X191&lt;&gt;0,"Enter Code"," ")</f>
        <v> </v>
      </c>
      <c r="Y191" s="6" t="str">
        <f aca="false">IF(W191="BS",X191,"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IF(E192="BS",F192,"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1"/>
      <c r="W192" s="42" t="str">
        <f aca="false">IF(X192&lt;&gt;0,"Enter Code"," ")</f>
        <v> </v>
      </c>
      <c r="Y192" s="6" t="str">
        <f aca="false">IF(W192="BS",X192,"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IF(E193="BS",F193,"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1"/>
      <c r="W193" s="42" t="str">
        <f aca="false">IF(X193&lt;&gt;0,"Enter Code"," ")</f>
        <v> </v>
      </c>
      <c r="Y193" s="6" t="str">
        <f aca="false">IF(W193="BS",X193,"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IF(E194="BS",F194,"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1"/>
      <c r="W194" s="42" t="str">
        <f aca="false">IF(X194&lt;&gt;0,"Enter Code"," ")</f>
        <v> </v>
      </c>
      <c r="Y194" s="6" t="str">
        <f aca="false">IF(W194="BS",X194,"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IF(E195="BS",F195,"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1"/>
      <c r="W195" s="42" t="str">
        <f aca="false">IF(X195&lt;&gt;0,"Enter Code"," ")</f>
        <v> </v>
      </c>
      <c r="Y195" s="6" t="str">
        <f aca="false">IF(W195="BS",X195,"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IF(E196="BS",F196,"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1"/>
      <c r="W196" s="42" t="str">
        <f aca="false">IF(X196&lt;&gt;0,"Enter Code"," ")</f>
        <v> </v>
      </c>
      <c r="Y196" s="6" t="str">
        <f aca="false">IF(W196="BS",X196,"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IF(E197="BS",F197,"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1"/>
      <c r="W197" s="42" t="str">
        <f aca="false">IF(X197&lt;&gt;0,"Enter Code"," ")</f>
        <v> </v>
      </c>
      <c r="Y197" s="6" t="str">
        <f aca="false">IF(W197="BS",X197,"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IF(E198="BS",F198,"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1"/>
      <c r="W198" s="42" t="str">
        <f aca="false">IF(X198&lt;&gt;0,"Enter Code"," ")</f>
        <v> </v>
      </c>
      <c r="Y198" s="6" t="str">
        <f aca="false">IF(W198="BS",X198,"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IF(E199="BS",F199,"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1"/>
      <c r="W199" s="42" t="str">
        <f aca="false">IF(X199&lt;&gt;0,"Enter Code"," ")</f>
        <v> </v>
      </c>
      <c r="Y199" s="6" t="str">
        <f aca="false">IF(W199="BS",X199,"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.75" hidden="false" customHeight="false" outlineLevel="0" collapsed="false">
      <c r="A200" s="44"/>
      <c r="B200" s="45"/>
      <c r="C200" s="46"/>
      <c r="D200" s="47"/>
      <c r="E200" s="48" t="str">
        <f aca="false">IF(F200&lt;&gt;0,"Enter Code"," ")</f>
        <v> </v>
      </c>
      <c r="F200" s="49"/>
      <c r="G200" s="49" t="str">
        <f aca="false">IF(E200="BS",F200," ")</f>
        <v> </v>
      </c>
      <c r="H200" s="49" t="str">
        <f aca="false">IF(E200="BD",F200," ")</f>
        <v> </v>
      </c>
      <c r="I200" s="49" t="str">
        <f aca="false">IF(E200="BC",F200," ")</f>
        <v> </v>
      </c>
      <c r="J200" s="49" t="str">
        <f aca="false">IF(E200="DR",F200," ")</f>
        <v> </v>
      </c>
      <c r="K200" s="49" t="str">
        <f aca="false">IF(E200="K",F200," ")</f>
        <v> </v>
      </c>
      <c r="L200" s="49" t="str">
        <f aca="false">IF(E200="LDR",F200," ")</f>
        <v> </v>
      </c>
      <c r="M200" s="49" t="str">
        <f aca="false">IF(E200="LCR",F200," ")</f>
        <v> </v>
      </c>
      <c r="N200" s="49" t="str">
        <f aca="false">IF(E200="RV",F200," ")</f>
        <v> </v>
      </c>
      <c r="O200" s="49" t="str">
        <f aca="false">IF(E200="RC",F200," ")</f>
        <v> </v>
      </c>
      <c r="P200" s="49" t="str">
        <f aca="false">IF(E200="DL",F200," ")</f>
        <v> </v>
      </c>
      <c r="Q200" s="49" t="str">
        <f aca="false">IF(E200="X",F200," ")</f>
        <v> </v>
      </c>
      <c r="R200" s="43"/>
      <c r="S200" s="44"/>
      <c r="T200" s="47"/>
      <c r="U200" s="46"/>
      <c r="V200" s="46"/>
      <c r="W200" s="50" t="str">
        <f aca="false">IF(X200&lt;&gt;0,"Enter Code"," ")</f>
        <v> </v>
      </c>
      <c r="X200" s="49"/>
      <c r="Y200" s="49" t="str">
        <f aca="false">IF(W200="BS",X200," ")</f>
        <v> </v>
      </c>
      <c r="Z200" s="49" t="str">
        <f aca="false">IF(W200="BD",X200," ")</f>
        <v> </v>
      </c>
      <c r="AA200" s="49" t="str">
        <f aca="false">IF(W200="BC",X200," ")</f>
        <v> </v>
      </c>
      <c r="AB200" s="49" t="str">
        <f aca="false">IF(W200="CR",X200," ")</f>
        <v> </v>
      </c>
      <c r="AC200" s="49" t="str">
        <f aca="false">IF(W200="W",X200," ")</f>
        <v> </v>
      </c>
      <c r="AD200" s="49" t="str">
        <f aca="false">IF(W200="B",X200," ")</f>
        <v> </v>
      </c>
      <c r="AE200" s="49" t="str">
        <f aca="false">IF(W200="J",X200," ")</f>
        <v> </v>
      </c>
      <c r="AF200" s="49" t="str">
        <f aca="false">IF(W200="LDR",X200," ")</f>
        <v> </v>
      </c>
      <c r="AG200" s="49" t="str">
        <f aca="false">IF(W200="LCR",X200," ")</f>
        <v> </v>
      </c>
      <c r="AH200" s="49" t="str">
        <f aca="false">IF(W200="RP",X200," ")</f>
        <v> </v>
      </c>
      <c r="AI200" s="49" t="str">
        <f aca="false">IF(W200="RV",X200," ")</f>
        <v> </v>
      </c>
      <c r="AJ200" s="49" t="str">
        <f aca="false">IF(W200="RC",X200," ")</f>
        <v> </v>
      </c>
      <c r="AK200" s="49" t="str">
        <f aca="false">IF(W200="RT",X200," ")</f>
        <v> </v>
      </c>
      <c r="AL200" s="49" t="str">
        <f aca="false">IF(W200="DV",X200," ")</f>
        <v> </v>
      </c>
      <c r="AM200" s="49" t="str">
        <f aca="false">IF(W200="DL",X200," ")</f>
        <v> </v>
      </c>
      <c r="AN200" s="49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DIY Accounting Limited</dc:creator>
  <dc:description>Copyright (C) 2006-2026 DIY Accounting Limited. Licensed under the PolyForm Internal Use License 1.0.0 with an additional grant for accountants.</dc:description>
  <dc:language>en-US</dc:language>
  <cp:lastModifiedBy>DIY Accounting Limited</cp:lastModifiedBy>
  <cp:lastPrinted>2007-03-03T16:28:32Z</cp:lastPrinted>
  <dcterms:modified xsi:type="dcterms:W3CDTF">2025-04-03T23:05:12Z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